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 Do List" sheetId="1" r:id="rId5"/>
    <sheet state="visible" name="Wedding Expenses" sheetId="2" r:id="rId6"/>
    <sheet state="visible" name="Sheet2" sheetId="3" r:id="rId7"/>
    <sheet state="visible" name="Household Expenses" sheetId="4" r:id="rId8"/>
    <sheet state="visible" name="Sheet1" sheetId="5" r:id="rId9"/>
    <sheet state="visible" name="Dashboard" sheetId="6" r:id="rId10"/>
    <sheet state="visible" name="List dinvite MM" sheetId="7" r:id="rId11"/>
    <sheet state="visible" name="Guest List Nana " sheetId="8" r:id="rId12"/>
    <sheet state="visible" name="Sheet5" sheetId="9" r:id="rId13"/>
    <sheet state="visible" name="Sheet6" sheetId="10" r:id="rId14"/>
  </sheets>
  <definedNames/>
  <calcPr/>
</workbook>
</file>

<file path=xl/sharedStrings.xml><?xml version="1.0" encoding="utf-8"?>
<sst xmlns="http://schemas.openxmlformats.org/spreadsheetml/2006/main" count="542" uniqueCount="427">
  <si>
    <t>Task</t>
  </si>
  <si>
    <t>Due Date</t>
  </si>
  <si>
    <t>Priority</t>
  </si>
  <si>
    <t>Status</t>
  </si>
  <si>
    <t>Notes</t>
  </si>
  <si>
    <t>Pre marital teaching</t>
  </si>
  <si>
    <t>TBC</t>
  </si>
  <si>
    <t>High</t>
  </si>
  <si>
    <t>Not Started</t>
  </si>
  <si>
    <t>I will ask one of our leader to have a series of session with us. I already have the book and note we will be going through. I will also share your details with him if that's okay with you.
As mentioned. I want to be the best husban for you. So what I usually do is that i go for coffe chat with some good model (man) for councilling.
Once we are here we can decide to see one or two couple and you will decide who you like the most.
Kindly confirm if you would like your pastor to bless us. If that's the case. he should tell you what is required from his side; teaching? book to read? or task to be done.</t>
  </si>
  <si>
    <t>Prayer Altar</t>
  </si>
  <si>
    <t>Key thing to pray for:
- Blood line, ties for family or people, our wedding, our marriage, our love, our understanding, our children, our plan on when to have them, our finances, our home (I want us to buy a house), our businesses, our spirituallity , our mindset. (Please add stuff as the spirit will lead you)</t>
  </si>
  <si>
    <t>Doctor appointment</t>
  </si>
  <si>
    <t>End of September</t>
  </si>
  <si>
    <t>Low</t>
  </si>
  <si>
    <t>Kindly ask your father what we need to do for this. Any recommendation of a place we can go.
Or if we will do it here. But let him feel invole (as he is a doctor)</t>
  </si>
  <si>
    <t>House hold/ monthly 
expenses</t>
  </si>
  <si>
    <t>End of August</t>
  </si>
  <si>
    <t>Medium</t>
  </si>
  <si>
    <t xml:space="preserve">Have a dinner/supper 
with your tantine
</t>
  </si>
  <si>
    <t>Once you know when you are coming, kindly ask if we can have supper toguether at her place, as you would like her to know me.
Let us have some suggestion of date</t>
  </si>
  <si>
    <t>Photoshoot</t>
  </si>
  <si>
    <t>Please confirm</t>
  </si>
  <si>
    <t>Dinner with Namia</t>
  </si>
  <si>
    <t>In Progress</t>
  </si>
  <si>
    <t>Matt to book a restaurant in sea point</t>
  </si>
  <si>
    <t>Cinema/ outing</t>
  </si>
  <si>
    <t>Movie suggestion: odyssey (please check if you will be interrested) :D</t>
  </si>
  <si>
    <t>END OF DECEMBER</t>
  </si>
  <si>
    <t>:D</t>
  </si>
  <si>
    <t>Get Marriage license</t>
  </si>
  <si>
    <t>TBD</t>
  </si>
  <si>
    <t>Matt flight Tickets  for sep</t>
  </si>
  <si>
    <t>24/09/2026</t>
  </si>
  <si>
    <t xml:space="preserve">we shouldn't forget to book tickets for your trip to Durban in September </t>
  </si>
  <si>
    <t>Item</t>
  </si>
  <si>
    <t>Budget</t>
  </si>
  <si>
    <t>Actual</t>
  </si>
  <si>
    <t>Paid?</t>
  </si>
  <si>
    <t>Total Budget</t>
  </si>
  <si>
    <t>Total Actual</t>
  </si>
  <si>
    <t>Salle de fete</t>
  </si>
  <si>
    <t>Food (with salle de fete?)</t>
  </si>
  <si>
    <t>Photo &amp; Video</t>
  </si>
  <si>
    <t>Clothes</t>
  </si>
  <si>
    <t xml:space="preserve">Travelling </t>
  </si>
  <si>
    <t>6000+</t>
  </si>
  <si>
    <t>Transport pour les marriE</t>
  </si>
  <si>
    <t>Airbnb</t>
  </si>
  <si>
    <t xml:space="preserve">Transport </t>
  </si>
  <si>
    <t>Music</t>
  </si>
  <si>
    <t xml:space="preserve">bridesmaid &amp; groomsmen </t>
  </si>
  <si>
    <t xml:space="preserve">Decor </t>
  </si>
  <si>
    <t xml:space="preserve">tailor </t>
  </si>
  <si>
    <t xml:space="preserve">Clothing fabric </t>
  </si>
  <si>
    <t xml:space="preserve">Drinks and beverages </t>
  </si>
  <si>
    <t xml:space="preserve">Bridal jewelry &amp;accessories </t>
  </si>
  <si>
    <t xml:space="preserve">Groom's jewelry &amp; Accessories </t>
  </si>
  <si>
    <t xml:space="preserve">Wedding Rings </t>
  </si>
  <si>
    <t xml:space="preserve">honeymoon </t>
  </si>
  <si>
    <t xml:space="preserve">invitation cards </t>
  </si>
  <si>
    <t>wedding cake</t>
  </si>
  <si>
    <t>1. White Box</t>
  </si>
  <si>
    <t>Venue</t>
  </si>
  <si>
    <t>Food/per</t>
  </si>
  <si>
    <t>Decor</t>
  </si>
  <si>
    <t>Drink</t>
  </si>
  <si>
    <t>Number</t>
  </si>
  <si>
    <t>Total</t>
  </si>
  <si>
    <t>2.Collisheen Estate</t>
  </si>
  <si>
    <t>3. Sharula Estate</t>
  </si>
  <si>
    <t>Extra cost
Backup=R750
Bar (just the space) = R3K
Garden=R3k</t>
  </si>
  <si>
    <t>4.Blue Waters Hotel</t>
  </si>
  <si>
    <t>Add on= R10k</t>
  </si>
  <si>
    <t>5 Mount Edgecombe</t>
  </si>
  <si>
    <t>Category</t>
  </si>
  <si>
    <t>Date</t>
  </si>
  <si>
    <t>Sofa</t>
  </si>
  <si>
    <t xml:space="preserve">Please give me 3 Options </t>
  </si>
  <si>
    <t>Bed (double or Queen?)</t>
  </si>
  <si>
    <t>TBC (depending on room size</t>
  </si>
  <si>
    <t xml:space="preserve">Living room </t>
  </si>
  <si>
    <t>Couch</t>
  </si>
  <si>
    <t xml:space="preserve">table </t>
  </si>
  <si>
    <t xml:space="preserve">living room decor </t>
  </si>
  <si>
    <t>living room rug</t>
  </si>
  <si>
    <t>heater</t>
  </si>
  <si>
    <t>Curtains</t>
  </si>
  <si>
    <t>dining room</t>
  </si>
  <si>
    <t>dining set</t>
  </si>
  <si>
    <t xml:space="preserve">dining room decor </t>
  </si>
  <si>
    <t>kitchen</t>
  </si>
  <si>
    <t>microwave</t>
  </si>
  <si>
    <t xml:space="preserve">cutlery </t>
  </si>
  <si>
    <t xml:space="preserve">plates </t>
  </si>
  <si>
    <t>mugs/glasses</t>
  </si>
  <si>
    <t>kitchen decor</t>
  </si>
  <si>
    <t>pots/pans</t>
  </si>
  <si>
    <t>kettle</t>
  </si>
  <si>
    <t>toaster</t>
  </si>
  <si>
    <t>waffle make</t>
  </si>
  <si>
    <t>airfryer</t>
  </si>
  <si>
    <t>oven baking set</t>
  </si>
  <si>
    <t>bedroom</t>
  </si>
  <si>
    <t>bed ( queen</t>
  </si>
  <si>
    <t>bedsheets /blankets</t>
  </si>
  <si>
    <t xml:space="preserve">pillows and throws </t>
  </si>
  <si>
    <t xml:space="preserve">headboard set </t>
  </si>
  <si>
    <t>bedroom decor</t>
  </si>
  <si>
    <t>lamps</t>
  </si>
  <si>
    <t>bedroom rug</t>
  </si>
  <si>
    <t>electric duvet</t>
  </si>
  <si>
    <t>bathroom</t>
  </si>
  <si>
    <t>bathroom set</t>
  </si>
  <si>
    <t xml:space="preserve">Monthly expenses </t>
  </si>
  <si>
    <t>Rent</t>
  </si>
  <si>
    <t xml:space="preserve">petrol </t>
  </si>
  <si>
    <t xml:space="preserve">groceries </t>
  </si>
  <si>
    <t xml:space="preserve">water/electricity </t>
  </si>
  <si>
    <t xml:space="preserve">miscellaneous </t>
  </si>
  <si>
    <t xml:space="preserve">outings </t>
  </si>
  <si>
    <t>FAMILLE PATERNELLE</t>
  </si>
  <si>
    <t xml:space="preserve">Deux ensembles Costume 3 pièces Complet prêt à porter (taille 56) + une 
Chemise manche longue (XXL) et une Cravate assortie </t>
  </si>
  <si>
    <t>V</t>
  </si>
  <si>
    <t xml:space="preserve">Une paire de Chaussure homme (pointure 44) </t>
  </si>
  <si>
    <t>Une Montre – homme/GUESS GC CHRONOGRAPHE</t>
  </si>
  <si>
    <t>Do</t>
  </si>
  <si>
    <t>Une Couverture en laine</t>
  </si>
  <si>
    <t>A</t>
  </si>
  <si>
    <t xml:space="preserve">Trois pièces Super WAX Hollandais </t>
  </si>
  <si>
    <t>H=600$</t>
  </si>
  <si>
    <t xml:space="preserve">Un sac de Sel (25 kg) </t>
  </si>
  <si>
    <t>Da</t>
  </si>
  <si>
    <t xml:space="preserve">Une Dame-jeanne de Vin rouge (5 litres) </t>
  </si>
  <si>
    <t>M</t>
  </si>
  <si>
    <t xml:space="preserve">Une Chèvre </t>
  </si>
  <si>
    <t>Une Machette TRAMOTINA</t>
  </si>
  <si>
    <t xml:space="preserve">Boissons : 4 bouteilles de whisky Jack Daniels (Grand Format) + 20 packs (de 
12) de bières + 20 packs (de 12) de boissons sucrées </t>
  </si>
  <si>
    <t>MM</t>
  </si>
  <si>
    <t xml:space="preserve">Dot (en espèces) : 3.000 USD </t>
  </si>
  <si>
    <t xml:space="preserve">FAMILLE MATERNELLE </t>
  </si>
  <si>
    <t xml:space="preserve">Deux pièces Super Wax + Deux foulards de tête (Guess) </t>
  </si>
  <si>
    <t>H+Ma+</t>
  </si>
  <si>
    <t xml:space="preserve"> Deux paires de Chaussures Dame (pointure 40) </t>
  </si>
  <si>
    <t>Mi</t>
  </si>
  <si>
    <t xml:space="preserve">Un Sac à main (Guess) </t>
  </si>
  <si>
    <t>Une Montre Dame (Guess)</t>
  </si>
  <si>
    <t> Un ensemble costume 3 pièces (taille 48 Europe/38 USA)</t>
  </si>
  <si>
    <t xml:space="preserve"> Une paire de chaussure homme (pointure 40) 
</t>
  </si>
  <si>
    <t xml:space="preserve"> Une grande Marmite inox (Ma Famille) 
</t>
  </si>
  <si>
    <t> Une grande bassine (Libala bosembo)</t>
  </si>
  <si>
    <t> 20 Litres d’huile végétale</t>
  </si>
  <si>
    <t xml:space="preserve"> 5 kg de Sel 
</t>
  </si>
  <si>
    <t> Une boîte de lait (grand format)</t>
  </si>
  <si>
    <t> 10 kg de sucre</t>
  </si>
  <si>
    <t> Dot (en espèce) : 700 USD</t>
  </si>
  <si>
    <t>Expense Dashboard</t>
  </si>
  <si>
    <t>Wedding Budget</t>
  </si>
  <si>
    <t>Wedding Actual</t>
  </si>
  <si>
    <t>Household Budget</t>
  </si>
  <si>
    <t>Household Actual</t>
  </si>
  <si>
    <t xml:space="preserve">Family </t>
  </si>
  <si>
    <t>Name</t>
  </si>
  <si>
    <t>Reality</t>
  </si>
  <si>
    <t>Confirmed</t>
  </si>
  <si>
    <t xml:space="preserve">Helene </t>
  </si>
  <si>
    <t>Y</t>
  </si>
  <si>
    <t>Veronique</t>
  </si>
  <si>
    <t>2 confirmed</t>
  </si>
  <si>
    <t>Dieudonne</t>
  </si>
  <si>
    <t xml:space="preserve">Mirielle </t>
  </si>
  <si>
    <t>Arlette</t>
  </si>
  <si>
    <t>Daniel</t>
  </si>
  <si>
    <t>Eric</t>
  </si>
  <si>
    <t>Thierry</t>
  </si>
  <si>
    <t>Henri &amp; Muclare</t>
  </si>
  <si>
    <t>Toton Placide Kabala</t>
  </si>
  <si>
    <t>Senior Kabala</t>
  </si>
  <si>
    <t>Mirielle Banza</t>
  </si>
  <si>
    <t>Tantine Dianda</t>
  </si>
  <si>
    <t>Tonton Aidevous</t>
  </si>
  <si>
    <t>Sophie</t>
  </si>
  <si>
    <t>Pathy</t>
  </si>
  <si>
    <t>Felix &amp; Doris</t>
  </si>
  <si>
    <t>Friend</t>
  </si>
  <si>
    <t>Nic-Land Kolela</t>
  </si>
  <si>
    <t>Dieudonne Byabene</t>
  </si>
  <si>
    <t>Ephraim Kalonji</t>
  </si>
  <si>
    <t>Leon Chenge</t>
  </si>
  <si>
    <r>
      <rPr>
        <rFont val="Calibri"/>
        <color theme="1"/>
      </rPr>
      <t xml:space="preserve">Esther </t>
    </r>
    <r>
      <rPr>
        <rFont val="Calibri"/>
        <i/>
        <color theme="1"/>
      </rPr>
      <t>Chishibanji</t>
    </r>
  </si>
  <si>
    <t>Catherine Namayega</t>
  </si>
  <si>
    <t>Sophia M'zimbes</t>
  </si>
  <si>
    <t>Elie Wasa</t>
  </si>
  <si>
    <t>Kevin Ejiba</t>
  </si>
  <si>
    <t>Church</t>
  </si>
  <si>
    <t>Humphrey Bande</t>
  </si>
  <si>
    <t>Joelle &amp; Joshua</t>
  </si>
  <si>
    <t>Beks</t>
  </si>
  <si>
    <t>N</t>
  </si>
  <si>
    <t>Councilia</t>
  </si>
  <si>
    <t>Joshua &amp; Debrorah Matesun</t>
  </si>
  <si>
    <t>Domingo</t>
  </si>
  <si>
    <t>Julie-Ann</t>
  </si>
  <si>
    <t>Shalom Abiodun</t>
  </si>
  <si>
    <t>Neo</t>
  </si>
  <si>
    <t>Unathi Lu</t>
  </si>
  <si>
    <t>Mashall &amp; Sibo</t>
  </si>
  <si>
    <t>Mihlali</t>
  </si>
  <si>
    <t>Uche Ordor</t>
  </si>
  <si>
    <t>Hangala Siachiwena</t>
  </si>
  <si>
    <t>Family (Mom Side)</t>
  </si>
  <si>
    <t xml:space="preserve">Number </t>
  </si>
  <si>
    <t xml:space="preserve">Reality </t>
  </si>
  <si>
    <t xml:space="preserve">confirmed </t>
  </si>
  <si>
    <t xml:space="preserve">Pepe Medar Kabamba </t>
  </si>
  <si>
    <t xml:space="preserve">Meme Agnes Ntumba </t>
  </si>
  <si>
    <t xml:space="preserve"> Ghyslain Kabamba </t>
  </si>
  <si>
    <t xml:space="preserve"> Yolande Ntambwe </t>
  </si>
  <si>
    <t xml:space="preserve">Cynthia Kabamba </t>
  </si>
  <si>
    <t xml:space="preserve">Gloria Kabamba </t>
  </si>
  <si>
    <t xml:space="preserve">Claudine and Max Makelele </t>
  </si>
  <si>
    <t>Lydie Meta Mundele</t>
  </si>
  <si>
    <t xml:space="preserve">Gedeon Buka </t>
  </si>
  <si>
    <t xml:space="preserve">Papa Theo  </t>
  </si>
  <si>
    <t xml:space="preserve">Papa Jean-Marie </t>
  </si>
  <si>
    <t>Frida</t>
  </si>
  <si>
    <t xml:space="preserve">Alda </t>
  </si>
  <si>
    <t>Family(Dad's Side)</t>
  </si>
  <si>
    <t>Daniel and Josephine Mundele</t>
  </si>
  <si>
    <t>Dad</t>
  </si>
  <si>
    <t xml:space="preserve">Ginette Mundele </t>
  </si>
  <si>
    <t>Maman Chantal Mundele</t>
  </si>
  <si>
    <t xml:space="preserve">Maman Cisco </t>
  </si>
  <si>
    <t>Nanamichele Shabani</t>
  </si>
  <si>
    <t>Jean-Paul et Sylvie Debruyne</t>
  </si>
  <si>
    <t xml:space="preserve">Family Friends </t>
  </si>
  <si>
    <t xml:space="preserve">Cyril &amp; Belata Kiyoyo </t>
  </si>
  <si>
    <t xml:space="preserve">Cyril &amp; Ivette Mandombe </t>
  </si>
  <si>
    <t>Ephrem &amp; Cathy Kabala</t>
  </si>
  <si>
    <t>Albert and Benita Mbelu</t>
  </si>
  <si>
    <t xml:space="preserve"> Jimmy &amp; Mado Amsini </t>
  </si>
  <si>
    <t>Couple Holen</t>
  </si>
  <si>
    <t xml:space="preserve"> Sandra et Junior LUPEMBA </t>
  </si>
  <si>
    <t>Freddy &amp; Liliane Kabambi</t>
  </si>
  <si>
    <t>Fonteine &amp;  Anguy Munkungapyo</t>
  </si>
  <si>
    <t xml:space="preserve"> Justine &amp; Junior Kondjo</t>
  </si>
  <si>
    <t>Bruno and Lucette Kalala</t>
  </si>
  <si>
    <t xml:space="preserve"> Maître Laurent &amp;  Madame Yvonne Lukoji</t>
  </si>
  <si>
    <t>Shaneil Dhevpal and Kashmeena Deonarain</t>
  </si>
  <si>
    <t>Yusuf pathon and Nasreen Parker</t>
  </si>
  <si>
    <t>Nessen Govander &amp; Niroshini Naidoo</t>
  </si>
  <si>
    <t>Abdul Samad Mahomed and Ameera Jhetam</t>
  </si>
  <si>
    <t>Couple Gafoor</t>
  </si>
  <si>
    <t>Dr. J. Roy Moodley   &amp; Dr. Dianna Moodley</t>
  </si>
  <si>
    <t>couple Tshamala</t>
  </si>
  <si>
    <t xml:space="preserve">Azim litanga </t>
  </si>
  <si>
    <t>Adelphonse &amp; Lina Lokangu</t>
  </si>
  <si>
    <t>Joffrey &amp; Evelyne Nimi</t>
  </si>
  <si>
    <t xml:space="preserve">Professor Paulain </t>
  </si>
  <si>
    <t xml:space="preserve"> Mamie et Yannick Kulula</t>
  </si>
  <si>
    <t xml:space="preserve">couple Bongo </t>
  </si>
  <si>
    <t>Francine &amp; alain  kabongo</t>
  </si>
  <si>
    <t>Joel Muangalayi</t>
  </si>
  <si>
    <t>Maman Ida</t>
  </si>
  <si>
    <t xml:space="preserve">Church </t>
  </si>
  <si>
    <t xml:space="preserve">Pastor &amp; Maman Clarah </t>
  </si>
  <si>
    <t xml:space="preserve">Papa Claude &amp; Maman Nally </t>
  </si>
  <si>
    <t xml:space="preserve">Maman Angel </t>
  </si>
  <si>
    <t xml:space="preserve">Bijoux  And Pappy Nzeza </t>
  </si>
  <si>
    <t xml:space="preserve">Mokambi </t>
  </si>
  <si>
    <t xml:space="preserve">Maman Meya </t>
  </si>
  <si>
    <t xml:space="preserve">Maman Lili </t>
  </si>
  <si>
    <t xml:space="preserve">Sister Nozipho </t>
  </si>
  <si>
    <t xml:space="preserve">Nomcebo </t>
  </si>
  <si>
    <t xml:space="preserve">Maman Zouzou </t>
  </si>
  <si>
    <t xml:space="preserve">FRIENDS </t>
  </si>
  <si>
    <t>Sinead  Gous</t>
  </si>
  <si>
    <t xml:space="preserve">Laila  Raoof </t>
  </si>
  <si>
    <t xml:space="preserve">Groomsmen </t>
  </si>
  <si>
    <t xml:space="preserve">Samuel </t>
  </si>
  <si>
    <t xml:space="preserve">Daniel </t>
  </si>
  <si>
    <t xml:space="preserve">Kevin </t>
  </si>
  <si>
    <t xml:space="preserve">Ephraim </t>
  </si>
  <si>
    <t>Bridesmaids</t>
  </si>
  <si>
    <t xml:space="preserve">Benedict </t>
  </si>
  <si>
    <t xml:space="preserve">Jenny </t>
  </si>
  <si>
    <t>Gemima</t>
  </si>
  <si>
    <t xml:space="preserve">Eleanor </t>
  </si>
  <si>
    <t xml:space="preserve">Andrea </t>
  </si>
  <si>
    <t xml:space="preserve">Plamedi </t>
  </si>
  <si>
    <t xml:space="preserve">Claudia </t>
  </si>
  <si>
    <t>Kenayah</t>
  </si>
  <si>
    <t xml:space="preserve">Flower boys &amp; girls </t>
  </si>
  <si>
    <t xml:space="preserve">Chanty </t>
  </si>
  <si>
    <t xml:space="preserve">Great </t>
  </si>
  <si>
    <t xml:space="preserve">Owe </t>
  </si>
  <si>
    <t xml:space="preserve">Alidore </t>
  </si>
  <si>
    <t xml:space="preserve">Leona </t>
  </si>
  <si>
    <t xml:space="preserve">Total </t>
  </si>
  <si>
    <t>Category / Task</t>
  </si>
  <si>
    <t>Estimated Cost (R)</t>
  </si>
  <si>
    <t>Estimated Cost (USD)</t>
  </si>
  <si>
    <t>Assigned Family / Person</t>
  </si>
  <si>
    <t>Payment / Status</t>
  </si>
  <si>
    <t>Maloba</t>
  </si>
  <si>
    <t>Mundele</t>
  </si>
  <si>
    <t>Couple</t>
  </si>
  <si>
    <t>Venue/ Church/ ceremony</t>
  </si>
  <si>
    <t>$5 772</t>
  </si>
  <si>
    <t>Not paid</t>
  </si>
  <si>
    <t>Decoration</t>
  </si>
  <si>
    <t>Breakage deposit</t>
  </si>
  <si>
    <t>Main catering – 200 guests</t>
  </si>
  <si>
    <t>$3 077</t>
  </si>
  <si>
    <t>To agree</t>
  </si>
  <si>
    <t>Post-church refreshments – 200 guests</t>
  </si>
  <si>
    <t>Serving staff/protocol (transport)</t>
  </si>
  <si>
    <t>Day-of coordinator</t>
  </si>
  <si>
    <t>Family to be assigned</t>
  </si>
  <si>
    <t>MC</t>
  </si>
  <si>
    <t>DJ + sound system</t>
  </si>
  <si>
    <t>Photography</t>
  </si>
  <si>
    <t>Videography</t>
  </si>
  <si>
    <t>Wedding cake</t>
  </si>
  <si>
    <t>Drinks (water, juice,2 champagne/10, cold drinks</t>
  </si>
  <si>
    <t>Guest favour/ gift– 200</t>
  </si>
  <si>
    <t>Invitations / programmes / signage</t>
  </si>
  <si>
    <t>Additional floral/decor requirements</t>
  </si>
  <si>
    <t>Only if required</t>
  </si>
  <si>
    <t>Transport / logistics</t>
  </si>
  <si>
    <t>If agreed</t>
  </si>
  <si>
    <t>Contingency (not included yet)</t>
  </si>
  <si>
    <t>R10 000</t>
  </si>
  <si>
    <t>Shared</t>
  </si>
  <si>
    <t>Reserve</t>
  </si>
  <si>
    <t>TOTAL WORKING BUDGET</t>
  </si>
  <si>
    <t>$16 047</t>
  </si>
  <si>
    <t>$10 152</t>
  </si>
  <si>
    <t>INDIVIDUAL FAMILY / PERSONAL COSTS</t>
  </si>
  <si>
    <t>Family / Person</t>
  </si>
  <si>
    <t>Responsibility</t>
  </si>
  <si>
    <t>Paid</t>
  </si>
  <si>
    <t>Balance</t>
  </si>
  <si>
    <t>Bride's family</t>
  </si>
  <si>
    <t>Bride price / traditional contribution</t>
  </si>
  <si>
    <t>R162 500</t>
  </si>
  <si>
    <t>$10 000</t>
  </si>
  <si>
    <t>No</t>
  </si>
  <si>
    <t>Bride's dress &amp; accessories</t>
  </si>
  <si>
    <t>Bridesmaids' dresses</t>
  </si>
  <si>
    <t>Groom's family</t>
  </si>
  <si>
    <t>Groom's traditional requirements</t>
  </si>
  <si>
    <t>Groomsmen's attire</t>
  </si>
  <si>
    <t>To be assigned</t>
  </si>
  <si>
    <t>Other agreed family responsibility</t>
  </si>
  <si>
    <t>USD/ZAR planning rate used: $1 = R16.25 (15 September 2026)</t>
  </si>
  <si>
    <t>LIST OF GIFTS</t>
  </si>
  <si>
    <t xml:space="preserve">Estimated Cost </t>
  </si>
  <si>
    <t xml:space="preserve">Amount Cobtributed </t>
  </si>
  <si>
    <t xml:space="preserve">Home And furniture </t>
  </si>
  <si>
    <t>Sofa/Couch</t>
  </si>
  <si>
    <t>Coffee Table</t>
  </si>
  <si>
    <t>TV Stand</t>
  </si>
  <si>
    <t>Dining Table</t>
  </si>
  <si>
    <t>Dining Chairs</t>
  </si>
  <si>
    <t>Bookshelf</t>
  </si>
  <si>
    <t>Full-Length Mirror</t>
  </si>
  <si>
    <t>Floor Lamp</t>
  </si>
  <si>
    <t xml:space="preserve">Kitchen appliances/Dining </t>
  </si>
  <si>
    <t>Fridge/Freezer</t>
  </si>
  <si>
    <t>Microwave</t>
  </si>
  <si>
    <t>Air Fryer</t>
  </si>
  <si>
    <t>Blender</t>
  </si>
  <si>
    <t>Food Processor</t>
  </si>
  <si>
    <t>Electric Kettle</t>
  </si>
  <si>
    <t>Toaster</t>
  </si>
  <si>
    <t>Sandwich Maker</t>
  </si>
  <si>
    <t>Coffee Machine</t>
  </si>
  <si>
    <t>Slow Cooker</t>
  </si>
  <si>
    <t>Rice Cooker</t>
  </si>
  <si>
    <t>Pressure Cooker</t>
  </si>
  <si>
    <t>Hand Mixer</t>
  </si>
  <si>
    <t>Stand Mixer</t>
  </si>
  <si>
    <t>Juicer</t>
  </si>
  <si>
    <t>Kitchen Scale</t>
  </si>
  <si>
    <t>Water Filter/Purifier</t>
  </si>
  <si>
    <t>Dinner Plate Set</t>
  </si>
  <si>
    <t>Side Plate Set</t>
  </si>
  <si>
    <t>Bowl Set</t>
  </si>
  <si>
    <t>Cutlery Set</t>
  </si>
  <si>
    <t>Drinking Glasses</t>
  </si>
  <si>
    <t>Wine Glasses</t>
  </si>
  <si>
    <t>Coffee Mugs</t>
  </si>
  <si>
    <t>Serving Platters</t>
  </si>
  <si>
    <t>Serving Bowls</t>
  </si>
  <si>
    <t>Salad Bowl</t>
  </si>
  <si>
    <t>Baking Dishes</t>
  </si>
  <si>
    <t>Pots &amp; Pans Set</t>
  </si>
  <si>
    <t>Non-Stick Cookware Set</t>
  </si>
  <si>
    <t>Knife Set</t>
  </si>
  <si>
    <t>Chopping Boards</t>
  </si>
  <si>
    <t>Measuring Cups &amp; Spoons</t>
  </si>
  <si>
    <t>Food Storage Containers</t>
  </si>
  <si>
    <t>Spice Rack</t>
  </si>
  <si>
    <t>Kitchen Utensils Set</t>
  </si>
  <si>
    <t>Dish Rack</t>
  </si>
  <si>
    <r>
      <rPr>
        <rFont val="Calibri"/>
        <b/>
        <i/>
        <color theme="1"/>
      </rPr>
      <t>Laundry</t>
    </r>
    <r>
      <rPr>
        <rFont val="Calibri"/>
        <color theme="1"/>
      </rPr>
      <t xml:space="preserve"> </t>
    </r>
  </si>
  <si>
    <t>Washing Machine</t>
  </si>
  <si>
    <t>Tumble Dryer</t>
  </si>
  <si>
    <t>Iron</t>
  </si>
  <si>
    <t>Ironing Board</t>
  </si>
  <si>
    <t>Vacuum Cleaner</t>
  </si>
  <si>
    <t>Steam Mop</t>
  </si>
  <si>
    <r>
      <rPr>
        <rFont val="Calibri"/>
        <b/>
        <i/>
        <color theme="1"/>
      </rPr>
      <t>Electronics</t>
    </r>
    <r>
      <rPr>
        <rFont val="Calibri"/>
        <color theme="1"/>
      </rPr>
      <t xml:space="preserve"> </t>
    </r>
  </si>
  <si>
    <t>Smart TV</t>
  </si>
  <si>
    <t>Soundbar</t>
  </si>
  <si>
    <t>Bluetooth Speaker</t>
  </si>
  <si>
    <t xml:space="preserve">Items ro contribute to </t>
  </si>
  <si>
    <t>Moving Expenses</t>
  </si>
  <si>
    <t>Moving Truck/Transport</t>
  </si>
  <si>
    <t>New Home Fund</t>
  </si>
  <si>
    <t>Furniture Fund</t>
  </si>
  <si>
    <t>Appliance Fund</t>
  </si>
  <si>
    <t>Home Setup Fund</t>
  </si>
  <si>
    <t>Honeymoon Contribution</t>
  </si>
  <si>
    <t>Cape Town Experience</t>
  </si>
  <si>
    <t>Anniversary Fund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</si>
</sst>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quot;$&quot;"/>
    <numFmt numFmtId="165" formatCode="&quot;$&quot;#,##0"/>
  </numFmts>
  <fonts count="23">
    <font>
      <sz val="11.0"/>
      <color theme="1"/>
      <name val="Calibri"/>
      <scheme val="minor"/>
    </font>
    <font>
      <b/>
      <color theme="1"/>
      <name val="Calibri"/>
      <scheme val="minor"/>
    </font>
    <font>
      <color theme="1"/>
      <name val="Calibri"/>
      <scheme val="minor"/>
    </font>
    <font>
      <sz val="15.0"/>
      <color rgb="FF000000"/>
      <name val="Montserrat"/>
    </font>
    <font>
      <sz val="11.0"/>
      <color theme="1"/>
      <name val="Calibri"/>
    </font>
    <font>
      <sz val="7.0"/>
      <color theme="1"/>
      <name val="Calibri"/>
      <scheme val="minor"/>
    </font>
    <font>
      <b/>
      <color rgb="FFFF0000"/>
      <name val="Calibri"/>
      <scheme val="minor"/>
    </font>
    <font>
      <b/>
      <sz val="14.0"/>
      <color theme="1"/>
      <name val="Calibri"/>
      <scheme val="minor"/>
    </font>
    <font>
      <b/>
      <sz val="16.0"/>
      <color theme="1"/>
      <name val="Calibri"/>
      <scheme val="minor"/>
    </font>
    <font>
      <b/>
      <sz val="12.0"/>
      <color theme="1"/>
      <name val="Calibri"/>
      <scheme val="minor"/>
    </font>
    <font>
      <b/>
      <sz val="13.0"/>
      <color theme="1"/>
      <name val="Calibri"/>
      <scheme val="minor"/>
    </font>
    <font>
      <b/>
      <sz val="9.0"/>
      <color theme="1"/>
      <name val="Calibri"/>
      <scheme val="minor"/>
    </font>
    <font>
      <sz val="9.0"/>
      <color theme="1"/>
      <name val="Calibri"/>
      <scheme val="minor"/>
    </font>
    <font>
      <sz val="18.0"/>
      <color rgb="FFFF0000"/>
      <name val="Calibri"/>
      <scheme val="minor"/>
    </font>
    <font>
      <b/>
      <sz val="11.0"/>
      <color rgb="FFFFFFFF"/>
      <name val="Calibri"/>
    </font>
    <font>
      <color rgb="FFFF0000"/>
      <name val="Calibri"/>
      <scheme val="minor"/>
    </font>
    <font>
      <color rgb="FF00FF00"/>
      <name val="Calibri"/>
      <scheme val="minor"/>
    </font>
    <font>
      <sz val="11.0"/>
      <color rgb="FF000000"/>
      <name val="Calibri"/>
    </font>
    <font>
      <b/>
      <color rgb="FF00FF00"/>
      <name val="Calibri"/>
      <scheme val="minor"/>
    </font>
    <font>
      <b/>
      <sz val="11.0"/>
      <color theme="1"/>
      <name val="Calibri"/>
    </font>
    <font>
      <b/>
      <sz val="13.0"/>
      <color theme="1"/>
      <name val="Calibri"/>
    </font>
    <font>
      <i/>
      <sz val="11.0"/>
      <color theme="1"/>
      <name val="Calibri"/>
    </font>
    <font>
      <b/>
      <i/>
      <color theme="1"/>
      <name val="Calibri"/>
      <scheme val="minor"/>
    </font>
  </fonts>
  <fills count="23">
    <fill>
      <patternFill patternType="none"/>
    </fill>
    <fill>
      <patternFill patternType="lightGray"/>
    </fill>
    <fill>
      <patternFill patternType="solid">
        <fgColor rgb="FFD9EAD3"/>
        <bgColor rgb="FFD9EAD3"/>
      </patternFill>
    </fill>
    <fill>
      <patternFill patternType="solid">
        <fgColor rgb="FFCFE2F3"/>
        <bgColor rgb="FFCFE2F3"/>
      </patternFill>
    </fill>
    <fill>
      <patternFill patternType="solid">
        <fgColor rgb="FFFF0000"/>
        <bgColor rgb="FFFF0000"/>
      </patternFill>
    </fill>
    <fill>
      <patternFill patternType="solid">
        <fgColor rgb="FFC9DAF8"/>
        <bgColor rgb="FFC9DAF8"/>
      </patternFill>
    </fill>
    <fill>
      <patternFill patternType="solid">
        <fgColor rgb="FFFFFFFF"/>
        <bgColor rgb="FFFFFFFF"/>
      </patternFill>
    </fill>
    <fill>
      <patternFill patternType="solid">
        <fgColor rgb="FFF4CCCC"/>
        <bgColor rgb="FFF4CCCC"/>
      </patternFill>
    </fill>
    <fill>
      <patternFill patternType="solid">
        <fgColor rgb="FFD0E0E3"/>
        <bgColor rgb="FFD0E0E3"/>
      </patternFill>
    </fill>
    <fill>
      <patternFill patternType="solid">
        <fgColor rgb="FFF3F3F3"/>
        <bgColor rgb="FFF3F3F3"/>
      </patternFill>
    </fill>
    <fill>
      <patternFill patternType="solid">
        <fgColor rgb="FF9900FF"/>
        <bgColor rgb="FF9900FF"/>
      </patternFill>
    </fill>
    <fill>
      <patternFill patternType="solid">
        <fgColor rgb="FF00FF00"/>
        <bgColor rgb="FF00FF00"/>
      </patternFill>
    </fill>
    <fill>
      <patternFill patternType="solid">
        <fgColor rgb="FF0000FF"/>
        <bgColor rgb="FF0000FF"/>
      </patternFill>
    </fill>
    <fill>
      <patternFill patternType="solid">
        <fgColor rgb="FFD5A6BD"/>
        <bgColor rgb="FFD5A6BD"/>
      </patternFill>
    </fill>
    <fill>
      <patternFill patternType="solid">
        <fgColor rgb="FFFFF2CC"/>
        <bgColor rgb="FFFFF2CC"/>
      </patternFill>
    </fill>
    <fill>
      <patternFill patternType="solid">
        <fgColor rgb="FFFF9900"/>
        <bgColor rgb="FFFF9900"/>
      </patternFill>
    </fill>
    <fill>
      <patternFill patternType="solid">
        <fgColor rgb="FF93C47D"/>
        <bgColor rgb="FF93C47D"/>
      </patternFill>
    </fill>
    <fill>
      <patternFill patternType="solid">
        <fgColor rgb="FFE6B8AF"/>
        <bgColor rgb="FFE6B8AF"/>
      </patternFill>
    </fill>
    <fill>
      <patternFill patternType="solid">
        <fgColor rgb="FFEFEFEF"/>
        <bgColor rgb="FFEFEFEF"/>
      </patternFill>
    </fill>
    <fill>
      <patternFill patternType="solid">
        <fgColor rgb="FF1F4E78"/>
        <bgColor rgb="FF1F4E78"/>
      </patternFill>
    </fill>
    <fill>
      <patternFill patternType="solid">
        <fgColor rgb="FF999999"/>
        <bgColor rgb="FF999999"/>
      </patternFill>
    </fill>
    <fill>
      <patternFill patternType="solid">
        <fgColor rgb="FFD9EAF7"/>
        <bgColor rgb="FFD9EAF7"/>
      </patternFill>
    </fill>
    <fill>
      <patternFill patternType="solid">
        <fgColor rgb="FFCC0000"/>
        <bgColor rgb="FFCC0000"/>
      </patternFill>
    </fill>
  </fills>
  <borders count="4">
    <border/>
    <border>
      <left/>
      <right/>
      <top/>
      <bottom/>
    </border>
    <border>
      <left style="thin">
        <color rgb="FF000000"/>
      </left>
      <right style="thin">
        <color rgb="FF000000"/>
      </right>
      <top style="thin">
        <color rgb="FF000000"/>
      </top>
      <bottom style="thin">
        <color rgb="FF000000"/>
      </bottom>
    </border>
    <border>
      <bottom style="thin">
        <color rgb="FFB7B7B7"/>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readingOrder="0"/>
    </xf>
    <xf borderId="0" fillId="3" fontId="2" numFmtId="0" xfId="0" applyAlignment="1" applyFill="1" applyFont="1">
      <alignment readingOrder="0"/>
    </xf>
    <xf borderId="0" fillId="0" fontId="2" numFmtId="0" xfId="0" applyFont="1"/>
    <xf borderId="0" fillId="4" fontId="1" numFmtId="0" xfId="0" applyAlignment="1" applyFill="1" applyFont="1">
      <alignment readingOrder="0"/>
    </xf>
    <xf borderId="0" fillId="4" fontId="2" numFmtId="0" xfId="0" applyAlignment="1" applyFill="1" applyFont="1">
      <alignment readingOrder="0"/>
    </xf>
    <xf borderId="0" fillId="5" fontId="2" numFmtId="0" xfId="0" applyAlignment="1" applyFill="1" applyFont="1">
      <alignment readingOrder="0"/>
    </xf>
    <xf borderId="0" fillId="6" fontId="3" numFmtId="0" xfId="0" applyAlignment="1" applyFill="1" applyFont="1">
      <alignment horizontal="center" readingOrder="0"/>
    </xf>
    <xf borderId="0" fillId="7" fontId="2" numFmtId="0" xfId="0" applyFill="1" applyFont="1"/>
    <xf borderId="0" fillId="8" fontId="1" numFmtId="0" xfId="0" applyAlignment="1" applyFill="1" applyFont="1">
      <alignment readingOrder="0"/>
    </xf>
    <xf borderId="0" fillId="8" fontId="2" numFmtId="0" xfId="0" applyFill="1" applyFont="1"/>
    <xf borderId="0" fillId="7" fontId="2" numFmtId="0" xfId="0" applyAlignment="1" applyFill="1" applyFont="1">
      <alignment readingOrder="0"/>
    </xf>
    <xf borderId="0" fillId="7" fontId="1" numFmtId="0" xfId="0" applyFill="1" applyFont="1"/>
    <xf borderId="0" fillId="8" fontId="2" numFmtId="0" xfId="0" applyAlignment="1" applyFill="1" applyFont="1">
      <alignment readingOrder="0"/>
    </xf>
    <xf borderId="0" fillId="0" fontId="4" numFmtId="0" xfId="0" applyAlignment="1" applyFont="1">
      <alignment vertical="bottom"/>
    </xf>
    <xf borderId="0" fillId="7" fontId="4" numFmtId="0" xfId="0" applyAlignment="1" applyFill="1" applyFont="1">
      <alignment vertical="bottom"/>
    </xf>
    <xf borderId="0" fillId="8" fontId="4" numFmtId="0" xfId="0" applyAlignment="1" applyFill="1" applyFont="1">
      <alignment readingOrder="0" vertical="bottom"/>
    </xf>
    <xf borderId="0" fillId="8" fontId="4" numFmtId="0" xfId="0" applyAlignment="1" applyFill="1" applyFont="1">
      <alignment vertical="bottom"/>
    </xf>
    <xf borderId="0" fillId="0" fontId="5" numFmtId="0" xfId="0" applyAlignment="1" applyFont="1">
      <alignment readingOrder="0"/>
    </xf>
    <xf borderId="0" fillId="9" fontId="2" numFmtId="0" xfId="0" applyFill="1" applyFont="1"/>
    <xf borderId="0" fillId="10" fontId="2" numFmtId="0" xfId="0" applyFill="1" applyFont="1"/>
    <xf borderId="0" fillId="10" fontId="2" numFmtId="0" xfId="0" applyAlignment="1" applyFill="1" applyFont="1">
      <alignment readingOrder="0"/>
    </xf>
    <xf borderId="0" fillId="9" fontId="2" numFmtId="0" xfId="0" applyAlignment="1" applyFill="1" applyFont="1">
      <alignment readingOrder="0"/>
    </xf>
    <xf borderId="0" fillId="11" fontId="2" numFmtId="0" xfId="0" applyFill="1" applyFont="1"/>
    <xf borderId="0" fillId="11" fontId="2" numFmtId="0" xfId="0" applyAlignment="1" applyFill="1" applyFont="1">
      <alignment readingOrder="0"/>
    </xf>
    <xf borderId="0" fillId="12" fontId="2" numFmtId="0" xfId="0" applyFill="1" applyFont="1"/>
    <xf borderId="0" fillId="12" fontId="2" numFmtId="0" xfId="0" applyAlignment="1" applyFill="1" applyFont="1">
      <alignment readingOrder="0"/>
    </xf>
    <xf borderId="0" fillId="12" fontId="2" numFmtId="164" xfId="0" applyAlignment="1" applyFill="1" applyFont="1" applyNumberFormat="1">
      <alignment readingOrder="0"/>
    </xf>
    <xf borderId="0" fillId="13" fontId="2" numFmtId="0" xfId="0" applyFill="1" applyFont="1"/>
    <xf borderId="0" fillId="13" fontId="2" numFmtId="0" xfId="0" applyAlignment="1" applyFill="1" applyFont="1">
      <alignment readingOrder="0"/>
    </xf>
    <xf borderId="0" fillId="3" fontId="2" numFmtId="0" xfId="0" applyFill="1" applyFont="1"/>
    <xf borderId="0" fillId="3" fontId="2" numFmtId="164" xfId="0" applyAlignment="1" applyFill="1" applyFont="1" applyNumberFormat="1">
      <alignment readingOrder="0"/>
    </xf>
    <xf borderId="0" fillId="14" fontId="2" numFmtId="0" xfId="0" applyFill="1" applyFont="1"/>
    <xf borderId="0" fillId="14" fontId="2" numFmtId="0" xfId="0" applyAlignment="1" applyFill="1" applyFont="1">
      <alignment readingOrder="0"/>
    </xf>
    <xf borderId="0" fillId="14" fontId="2" numFmtId="164" xfId="0" applyAlignment="1" applyFill="1" applyFont="1" applyNumberFormat="1">
      <alignment readingOrder="0"/>
    </xf>
    <xf borderId="0" fillId="0" fontId="6" numFmtId="0" xfId="0" applyFont="1"/>
    <xf borderId="0" fillId="15" fontId="2" numFmtId="0" xfId="0" applyFill="1" applyFont="1"/>
    <xf borderId="0" fillId="15" fontId="2" numFmtId="0" xfId="0" applyAlignment="1" applyFill="1" applyFont="1">
      <alignment readingOrder="0"/>
    </xf>
    <xf borderId="0" fillId="16" fontId="2" numFmtId="0" xfId="0" applyFill="1" applyFont="1"/>
    <xf borderId="0" fillId="16" fontId="2" numFmtId="0" xfId="0" applyAlignment="1" applyFill="1" applyFont="1">
      <alignment readingOrder="0"/>
    </xf>
    <xf borderId="2" fillId="17" fontId="7" numFmtId="0" xfId="0" applyBorder="1" applyFill="1" applyFont="1"/>
    <xf borderId="0" fillId="5" fontId="2" numFmtId="0" xfId="0" applyFill="1" applyFont="1"/>
    <xf borderId="0" fillId="0" fontId="8" numFmtId="0" xfId="0" applyFont="1"/>
    <xf borderId="0" fillId="8" fontId="9" numFmtId="0" xfId="0" applyAlignment="1" applyFill="1" applyFont="1">
      <alignment readingOrder="0"/>
    </xf>
    <xf borderId="0" fillId="0" fontId="9" numFmtId="0" xfId="0" applyAlignment="1" applyFont="1">
      <alignment readingOrder="0"/>
    </xf>
    <xf borderId="0" fillId="0" fontId="9" numFmtId="0" xfId="0" applyFont="1"/>
    <xf borderId="0" fillId="0" fontId="10" numFmtId="0" xfId="0" applyFont="1"/>
    <xf borderId="0" fillId="0" fontId="1" numFmtId="0" xfId="0" applyFont="1"/>
    <xf borderId="0" fillId="8" fontId="11" numFmtId="0" xfId="0" applyAlignment="1" applyFill="1" applyFont="1">
      <alignment readingOrder="0"/>
    </xf>
    <xf borderId="0" fillId="0" fontId="11" numFmtId="0" xfId="0" applyAlignment="1" applyFont="1">
      <alignment readingOrder="0"/>
    </xf>
    <xf borderId="0" fillId="0" fontId="1" numFmtId="0" xfId="0" applyAlignment="1" applyFont="1">
      <alignment readingOrder="0"/>
    </xf>
    <xf borderId="0" fillId="0" fontId="12" numFmtId="0" xfId="0" applyAlignment="1" applyFont="1">
      <alignment readingOrder="0"/>
    </xf>
    <xf borderId="0" fillId="18" fontId="2" numFmtId="0" xfId="0" applyFill="1" applyFont="1"/>
    <xf borderId="0" fillId="0" fontId="8" numFmtId="0" xfId="0" applyAlignment="1" applyFont="1">
      <alignment readingOrder="0"/>
    </xf>
    <xf borderId="0" fillId="0" fontId="13" numFmtId="0" xfId="0" applyFont="1"/>
    <xf borderId="0" fillId="19" fontId="14" numFmtId="0" xfId="0" applyAlignment="1" applyFill="1" applyFont="1">
      <alignment horizontal="center" readingOrder="0" shrinkToFit="0" wrapText="0"/>
    </xf>
    <xf borderId="0" fillId="0" fontId="15" numFmtId="0" xfId="0" applyAlignment="1" applyFont="1">
      <alignment readingOrder="0"/>
    </xf>
    <xf borderId="0" fillId="0" fontId="16" numFmtId="0" xfId="0" applyAlignment="1" applyFont="1">
      <alignment readingOrder="0"/>
    </xf>
    <xf borderId="3" fillId="0" fontId="17" numFmtId="0" xfId="0" applyAlignment="1" applyBorder="1" applyFont="1">
      <alignment readingOrder="0" vertical="top"/>
    </xf>
    <xf borderId="3" fillId="0" fontId="17" numFmtId="0" xfId="0" applyAlignment="1" applyBorder="1" applyFont="1">
      <alignment horizontal="right" readingOrder="0" vertical="top"/>
    </xf>
    <xf borderId="3" fillId="0" fontId="17" numFmtId="0" xfId="0" applyAlignment="1" applyBorder="1" applyFont="1">
      <alignment vertical="top"/>
    </xf>
    <xf borderId="0" fillId="0" fontId="18" numFmtId="0" xfId="0" applyFont="1"/>
    <xf borderId="3" fillId="0" fontId="17" numFmtId="165" xfId="0" applyAlignment="1" applyBorder="1" applyFont="1" applyNumberFormat="1">
      <alignment horizontal="right" readingOrder="0" vertical="top"/>
    </xf>
    <xf borderId="3" fillId="20" fontId="17" numFmtId="0" xfId="0" applyAlignment="1" applyBorder="1" applyFill="1" applyFont="1">
      <alignment readingOrder="0" vertical="top"/>
    </xf>
    <xf borderId="3" fillId="20" fontId="17" numFmtId="0" xfId="0" applyAlignment="1" applyBorder="1" applyFill="1" applyFont="1">
      <alignment horizontal="right" readingOrder="0" vertical="top"/>
    </xf>
    <xf borderId="3" fillId="21" fontId="19" numFmtId="0" xfId="0" applyAlignment="1" applyBorder="1" applyFill="1" applyFont="1">
      <alignment readingOrder="0" vertical="top"/>
    </xf>
    <xf borderId="3" fillId="21" fontId="19" numFmtId="0" xfId="0" applyAlignment="1" applyBorder="1" applyFill="1" applyFont="1">
      <alignment horizontal="right" readingOrder="0" vertical="top"/>
    </xf>
    <xf borderId="3" fillId="21" fontId="19" numFmtId="0" xfId="0" applyAlignment="1" applyBorder="1" applyFill="1" applyFont="1">
      <alignment vertical="top"/>
    </xf>
    <xf borderId="0" fillId="0" fontId="17" numFmtId="0" xfId="0" applyAlignment="1" applyFont="1">
      <alignment shrinkToFit="0" vertical="bottom" wrapText="0"/>
    </xf>
    <xf borderId="0" fillId="0" fontId="20" numFmtId="0" xfId="0" applyAlignment="1" applyFont="1">
      <alignment readingOrder="0" shrinkToFit="0" vertical="bottom" wrapText="0"/>
    </xf>
    <xf borderId="0" fillId="19" fontId="14" numFmtId="0" xfId="0" applyAlignment="1" applyFill="1" applyFont="1">
      <alignment horizontal="center" readingOrder="0" shrinkToFit="0" vertical="bottom" wrapText="0"/>
    </xf>
    <xf borderId="0" fillId="0" fontId="21" numFmtId="0" xfId="0" applyAlignment="1" applyFont="1">
      <alignment readingOrder="0" shrinkToFit="0" vertical="bottom" wrapText="0"/>
    </xf>
    <xf borderId="0" fillId="22" fontId="1" numFmtId="0" xfId="0" applyAlignment="1" applyFill="1" applyFont="1">
      <alignment readingOrder="0"/>
    </xf>
    <xf borderId="0" fillId="0" fontId="22" numFmtId="0" xfId="0" applyAlignment="1" applyFont="1">
      <alignment readingOrder="0"/>
    </xf>
    <xf borderId="0" fillId="0" fontId="2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2.0"/>
    <col customWidth="1" min="5" max="5" width="84.71"/>
    <col customWidth="1" min="6" max="26" width="8.71"/>
  </cols>
  <sheetData>
    <row r="1">
      <c r="A1" s="1" t="s">
        <v>0</v>
      </c>
      <c r="B1" s="1" t="s">
        <v>1</v>
      </c>
      <c r="C1" s="1" t="s">
        <v>2</v>
      </c>
      <c r="D1" s="1" t="s">
        <v>3</v>
      </c>
      <c r="E1" s="1" t="s">
        <v>4</v>
      </c>
    </row>
    <row r="2">
      <c r="A2" s="2" t="s">
        <v>5</v>
      </c>
      <c r="B2" s="2" t="s">
        <v>6</v>
      </c>
      <c r="C2" s="2" t="s">
        <v>7</v>
      </c>
      <c r="D2" s="2" t="s">
        <v>8</v>
      </c>
      <c r="E2" s="2" t="s">
        <v>9</v>
      </c>
    </row>
    <row r="3">
      <c r="A3" s="2" t="s">
        <v>10</v>
      </c>
      <c r="B3" s="2" t="s">
        <v>6</v>
      </c>
      <c r="C3" s="2" t="s">
        <v>7</v>
      </c>
      <c r="D3" s="2" t="s">
        <v>8</v>
      </c>
      <c r="E3" s="2" t="s">
        <v>11</v>
      </c>
    </row>
    <row r="4">
      <c r="A4" s="2" t="s">
        <v>12</v>
      </c>
      <c r="B4" s="2" t="s">
        <v>13</v>
      </c>
      <c r="C4" s="2" t="s">
        <v>14</v>
      </c>
      <c r="D4" s="2" t="s">
        <v>8</v>
      </c>
      <c r="E4" s="2" t="s">
        <v>15</v>
      </c>
    </row>
    <row r="5">
      <c r="A5" s="2" t="s">
        <v>16</v>
      </c>
      <c r="B5" s="2" t="s">
        <v>17</v>
      </c>
      <c r="C5" s="2" t="s">
        <v>18</v>
      </c>
      <c r="D5" s="2" t="s">
        <v>8</v>
      </c>
    </row>
    <row r="6">
      <c r="A6" s="2" t="s">
        <v>19</v>
      </c>
      <c r="B6" s="2" t="s">
        <v>17</v>
      </c>
      <c r="C6" s="2" t="s">
        <v>18</v>
      </c>
      <c r="D6" s="2" t="s">
        <v>8</v>
      </c>
      <c r="E6" s="2" t="s">
        <v>20</v>
      </c>
    </row>
    <row r="7">
      <c r="A7" s="3" t="s">
        <v>21</v>
      </c>
      <c r="B7" s="2" t="s">
        <v>17</v>
      </c>
      <c r="C7" s="2" t="s">
        <v>14</v>
      </c>
      <c r="D7" s="2" t="s">
        <v>8</v>
      </c>
      <c r="E7" s="2" t="s">
        <v>22</v>
      </c>
    </row>
    <row r="8">
      <c r="A8" s="3" t="s">
        <v>23</v>
      </c>
      <c r="C8" s="2" t="s">
        <v>18</v>
      </c>
      <c r="D8" s="2" t="s">
        <v>24</v>
      </c>
      <c r="E8" s="2" t="s">
        <v>25</v>
      </c>
    </row>
    <row r="9">
      <c r="A9" s="3" t="s">
        <v>26</v>
      </c>
      <c r="C9" s="2" t="s">
        <v>18</v>
      </c>
      <c r="D9" s="4"/>
      <c r="E9" s="2" t="s">
        <v>27</v>
      </c>
    </row>
    <row r="10">
      <c r="A10" s="5"/>
      <c r="B10" s="6" t="s">
        <v>28</v>
      </c>
      <c r="C10" s="6" t="s">
        <v>7</v>
      </c>
      <c r="D10" s="6" t="s">
        <v>24</v>
      </c>
      <c r="E10" s="6" t="s">
        <v>29</v>
      </c>
    </row>
    <row r="11">
      <c r="A11" s="2" t="s">
        <v>30</v>
      </c>
      <c r="B11" s="2" t="s">
        <v>31</v>
      </c>
      <c r="C11" s="2" t="s">
        <v>7</v>
      </c>
      <c r="D11" s="2" t="s">
        <v>8</v>
      </c>
    </row>
    <row r="12">
      <c r="A12" s="2" t="s">
        <v>32</v>
      </c>
      <c r="B12" s="2" t="s">
        <v>33</v>
      </c>
      <c r="C12" s="2" t="s">
        <v>7</v>
      </c>
      <c r="D12" s="2" t="s">
        <v>8</v>
      </c>
      <c r="E12" s="2" t="s">
        <v>34</v>
      </c>
    </row>
    <row r="13">
      <c r="C13" s="4"/>
      <c r="D13" s="4"/>
    </row>
    <row r="14">
      <c r="C14" s="4"/>
      <c r="D14" s="4"/>
    </row>
    <row r="15">
      <c r="C15" s="4"/>
      <c r="D15" s="4"/>
    </row>
    <row r="16">
      <c r="C16" s="4"/>
      <c r="D16" s="4"/>
    </row>
    <row r="17">
      <c r="C17" s="4"/>
      <c r="D17" s="4"/>
    </row>
    <row r="18">
      <c r="C18" s="4"/>
      <c r="D18" s="4"/>
    </row>
    <row r="19">
      <c r="C19" s="4"/>
      <c r="D19" s="4"/>
    </row>
    <row r="20">
      <c r="C20" s="4"/>
      <c r="D20" s="4"/>
    </row>
    <row r="21" ht="15.75" customHeight="1">
      <c r="C21" s="4"/>
      <c r="D21" s="4"/>
    </row>
    <row r="22" ht="15.75" customHeight="1">
      <c r="C22" s="4"/>
      <c r="D22" s="4"/>
    </row>
    <row r="23" ht="15.75" customHeight="1">
      <c r="C23" s="4"/>
      <c r="D23" s="4"/>
    </row>
    <row r="24" ht="15.75" customHeight="1">
      <c r="C24" s="4"/>
      <c r="D24" s="4"/>
    </row>
    <row r="25" ht="15.75" customHeight="1">
      <c r="C25" s="4"/>
      <c r="D25" s="4"/>
    </row>
    <row r="26" ht="15.75" customHeight="1">
      <c r="C26" s="4"/>
      <c r="D26" s="4"/>
    </row>
    <row r="27" ht="15.75" customHeight="1">
      <c r="C27" s="4"/>
      <c r="D27" s="4"/>
    </row>
    <row r="28" ht="15.75" customHeight="1">
      <c r="C28" s="4"/>
      <c r="D28" s="4"/>
    </row>
    <row r="29" ht="15.75" customHeight="1">
      <c r="C29" s="4"/>
      <c r="D29" s="4"/>
    </row>
    <row r="30" ht="15.75" customHeight="1">
      <c r="C30" s="4"/>
      <c r="D30" s="4"/>
    </row>
    <row r="31" ht="15.75" customHeight="1">
      <c r="C31" s="4"/>
      <c r="D31" s="4"/>
    </row>
    <row r="32" ht="15.75" customHeight="1">
      <c r="C32" s="4"/>
      <c r="D32" s="4"/>
    </row>
    <row r="33" ht="15.75" customHeight="1">
      <c r="C33" s="4"/>
      <c r="D33" s="4"/>
    </row>
    <row r="34" ht="15.75" customHeight="1">
      <c r="C34" s="4"/>
      <c r="D34" s="4"/>
    </row>
    <row r="35" ht="15.75" customHeight="1">
      <c r="C35" s="4"/>
      <c r="D35" s="4"/>
    </row>
    <row r="36" ht="15.75" customHeight="1">
      <c r="C36" s="4"/>
      <c r="D36" s="4"/>
    </row>
    <row r="37" ht="15.75" customHeight="1">
      <c r="C37" s="4"/>
      <c r="D37" s="4"/>
    </row>
    <row r="38" ht="15.75" customHeight="1">
      <c r="C38" s="4"/>
      <c r="D38" s="4"/>
    </row>
    <row r="39" ht="15.75" customHeight="1">
      <c r="C39" s="4"/>
      <c r="D39" s="4"/>
    </row>
    <row r="40" ht="15.75" customHeight="1">
      <c r="C40" s="4"/>
      <c r="D40" s="4"/>
    </row>
    <row r="41" ht="15.75" customHeight="1">
      <c r="C41" s="4"/>
      <c r="D41" s="4"/>
    </row>
    <row r="42" ht="15.75" customHeight="1">
      <c r="C42" s="4"/>
      <c r="D42" s="4"/>
    </row>
    <row r="43" ht="15.75" customHeight="1">
      <c r="C43" s="4"/>
      <c r="D43" s="4"/>
    </row>
    <row r="44" ht="15.75" customHeight="1">
      <c r="C44" s="4"/>
      <c r="D44" s="4"/>
    </row>
    <row r="45" ht="15.75" customHeight="1">
      <c r="C45" s="4"/>
      <c r="D45" s="4"/>
    </row>
    <row r="46" ht="15.75" customHeight="1">
      <c r="C46" s="4"/>
      <c r="D46" s="4"/>
    </row>
    <row r="47" ht="15.75" customHeight="1">
      <c r="C47" s="4"/>
      <c r="D47" s="4"/>
    </row>
    <row r="48" ht="15.75" customHeight="1">
      <c r="C48" s="4"/>
      <c r="D48" s="4"/>
    </row>
    <row r="49" ht="15.75" customHeight="1">
      <c r="C49" s="4"/>
      <c r="D49" s="4"/>
    </row>
    <row r="50" ht="15.75" customHeight="1">
      <c r="C50" s="4"/>
      <c r="D50" s="4"/>
    </row>
    <row r="51" ht="15.75" customHeight="1">
      <c r="C51" s="4"/>
      <c r="D51" s="4"/>
    </row>
    <row r="52" ht="15.75" customHeight="1">
      <c r="C52" s="4"/>
      <c r="D52" s="4"/>
    </row>
    <row r="53" ht="15.75" customHeight="1">
      <c r="C53" s="4"/>
      <c r="D53" s="4"/>
    </row>
    <row r="54" ht="15.75" customHeight="1">
      <c r="C54" s="4"/>
      <c r="D54" s="4"/>
    </row>
    <row r="55" ht="15.75" customHeight="1">
      <c r="C55" s="4"/>
      <c r="D55" s="4"/>
    </row>
    <row r="56" ht="15.75" customHeight="1">
      <c r="C56" s="4"/>
      <c r="D56" s="4"/>
    </row>
    <row r="57" ht="15.75" customHeight="1">
      <c r="C57" s="4"/>
      <c r="D57" s="4"/>
    </row>
    <row r="58" ht="15.75" customHeight="1">
      <c r="C58" s="4"/>
      <c r="D58" s="4"/>
    </row>
    <row r="59" ht="15.75" customHeight="1">
      <c r="C59" s="4"/>
      <c r="D59" s="4"/>
    </row>
    <row r="60" ht="15.75" customHeight="1">
      <c r="C60" s="4"/>
      <c r="D60" s="4"/>
    </row>
    <row r="61" ht="15.75" customHeight="1">
      <c r="C61" s="4"/>
      <c r="D61" s="4"/>
    </row>
    <row r="62" ht="15.75" customHeight="1">
      <c r="C62" s="4"/>
      <c r="D62" s="4"/>
    </row>
    <row r="63" ht="15.75" customHeight="1">
      <c r="C63" s="4"/>
      <c r="D63" s="4"/>
    </row>
    <row r="64" ht="15.75" customHeight="1">
      <c r="C64" s="4"/>
      <c r="D64" s="4"/>
    </row>
    <row r="65" ht="15.75" customHeight="1">
      <c r="C65" s="4"/>
      <c r="D65" s="4"/>
    </row>
    <row r="66" ht="15.75" customHeight="1">
      <c r="C66" s="4"/>
      <c r="D66" s="4"/>
    </row>
    <row r="67" ht="15.75" customHeight="1">
      <c r="C67" s="4"/>
      <c r="D67" s="4"/>
    </row>
    <row r="68" ht="15.75" customHeight="1">
      <c r="C68" s="4"/>
      <c r="D68" s="4"/>
    </row>
    <row r="69" ht="15.75" customHeight="1">
      <c r="C69" s="4"/>
      <c r="D69" s="4"/>
    </row>
    <row r="70" ht="15.75" customHeight="1">
      <c r="C70" s="4"/>
      <c r="D70" s="4"/>
    </row>
    <row r="71" ht="15.75" customHeight="1">
      <c r="C71" s="4"/>
      <c r="D71" s="4"/>
    </row>
    <row r="72" ht="15.75" customHeight="1">
      <c r="C72" s="4"/>
      <c r="D72" s="4"/>
    </row>
    <row r="73" ht="15.75" customHeight="1">
      <c r="C73" s="4"/>
      <c r="D73" s="4"/>
    </row>
    <row r="74" ht="15.75" customHeight="1">
      <c r="C74" s="4"/>
      <c r="D74" s="4"/>
    </row>
    <row r="75" ht="15.75" customHeight="1">
      <c r="C75" s="4"/>
      <c r="D75" s="4"/>
    </row>
    <row r="76" ht="15.75" customHeight="1">
      <c r="C76" s="4"/>
      <c r="D76" s="4"/>
    </row>
    <row r="77" ht="15.75" customHeight="1">
      <c r="C77" s="4"/>
      <c r="D77" s="4"/>
    </row>
    <row r="78" ht="15.75" customHeight="1">
      <c r="C78" s="4"/>
      <c r="D78" s="4"/>
    </row>
    <row r="79" ht="15.75" customHeight="1">
      <c r="C79" s="4"/>
      <c r="D79" s="4"/>
    </row>
    <row r="80" ht="15.75" customHeight="1">
      <c r="C80" s="4"/>
      <c r="D80" s="4"/>
    </row>
    <row r="81" ht="15.75" customHeight="1">
      <c r="C81" s="4"/>
      <c r="D81" s="4"/>
    </row>
    <row r="82" ht="15.75" customHeight="1">
      <c r="C82" s="4"/>
      <c r="D82" s="4"/>
    </row>
    <row r="83" ht="15.75" customHeight="1">
      <c r="C83" s="4"/>
      <c r="D83" s="4"/>
    </row>
    <row r="84" ht="15.75" customHeight="1">
      <c r="C84" s="4"/>
      <c r="D84" s="4"/>
    </row>
    <row r="85" ht="15.75" customHeight="1">
      <c r="C85" s="4"/>
      <c r="D85" s="4"/>
    </row>
    <row r="86" ht="15.75" customHeight="1">
      <c r="C86" s="4"/>
      <c r="D86" s="4"/>
    </row>
    <row r="87" ht="15.75" customHeight="1">
      <c r="C87" s="4"/>
      <c r="D87" s="4"/>
    </row>
    <row r="88" ht="15.75" customHeight="1">
      <c r="C88" s="4"/>
      <c r="D88" s="4"/>
    </row>
    <row r="89" ht="15.75" customHeight="1">
      <c r="C89" s="4"/>
      <c r="D89" s="4"/>
    </row>
    <row r="90" ht="15.75" customHeight="1">
      <c r="C90" s="4"/>
      <c r="D90" s="4"/>
    </row>
    <row r="91" ht="15.75" customHeight="1">
      <c r="C91" s="4"/>
      <c r="D91" s="4"/>
    </row>
    <row r="92" ht="15.75" customHeight="1">
      <c r="C92" s="4"/>
      <c r="D92" s="4"/>
    </row>
    <row r="93" ht="15.75" customHeight="1">
      <c r="C93" s="4"/>
      <c r="D93" s="4"/>
    </row>
    <row r="94" ht="15.75" customHeight="1">
      <c r="C94" s="4"/>
      <c r="D94" s="4"/>
    </row>
    <row r="95" ht="15.75" customHeight="1">
      <c r="C95" s="4"/>
      <c r="D95" s="4"/>
    </row>
    <row r="96" ht="15.75" customHeight="1">
      <c r="C96" s="4"/>
      <c r="D96" s="4"/>
    </row>
    <row r="97" ht="15.75" customHeight="1">
      <c r="C97" s="4"/>
      <c r="D97" s="4"/>
    </row>
    <row r="98" ht="15.75" customHeight="1">
      <c r="C98" s="4"/>
      <c r="D98" s="4"/>
    </row>
    <row r="99" ht="15.75" customHeight="1">
      <c r="C99" s="4"/>
      <c r="D99" s="4"/>
    </row>
    <row r="100" ht="15.75" customHeight="1">
      <c r="C100" s="4"/>
      <c r="D100" s="4"/>
    </row>
    <row r="101" ht="15.75" customHeight="1">
      <c r="C101" s="4"/>
      <c r="D101" s="4"/>
    </row>
    <row r="102" ht="15.75" customHeight="1">
      <c r="C102" s="4"/>
      <c r="D102" s="4"/>
    </row>
    <row r="103" ht="15.75" customHeight="1">
      <c r="C103" s="4"/>
      <c r="D103" s="4"/>
    </row>
    <row r="104" ht="15.75" customHeight="1">
      <c r="C104" s="4"/>
      <c r="D104" s="4"/>
    </row>
    <row r="105" ht="15.75" customHeight="1">
      <c r="C105" s="4"/>
      <c r="D105" s="4"/>
    </row>
    <row r="106" ht="15.75" customHeight="1">
      <c r="C106" s="4"/>
      <c r="D106" s="4"/>
    </row>
    <row r="107" ht="15.75" customHeight="1">
      <c r="C107" s="4"/>
      <c r="D107" s="4"/>
    </row>
    <row r="108" ht="15.75" customHeight="1">
      <c r="C108" s="4"/>
      <c r="D108" s="4"/>
    </row>
    <row r="109" ht="15.75" customHeight="1">
      <c r="C109" s="4"/>
      <c r="D109" s="4"/>
    </row>
    <row r="110" ht="15.75" customHeight="1">
      <c r="C110" s="4"/>
      <c r="D110" s="4"/>
    </row>
    <row r="111" ht="15.75" customHeight="1">
      <c r="C111" s="4"/>
      <c r="D111" s="4"/>
    </row>
    <row r="112" ht="15.75" customHeight="1">
      <c r="C112" s="4"/>
      <c r="D112" s="4"/>
    </row>
    <row r="113" ht="15.75" customHeight="1">
      <c r="C113" s="4"/>
      <c r="D113" s="4"/>
    </row>
    <row r="114" ht="15.75" customHeight="1">
      <c r="C114" s="4"/>
      <c r="D114" s="4"/>
    </row>
    <row r="115" ht="15.75" customHeight="1">
      <c r="C115" s="4"/>
      <c r="D115" s="4"/>
    </row>
    <row r="116" ht="15.75" customHeight="1">
      <c r="C116" s="4"/>
      <c r="D116" s="4"/>
    </row>
    <row r="117" ht="15.75" customHeight="1">
      <c r="C117" s="4"/>
      <c r="D117" s="4"/>
    </row>
    <row r="118" ht="15.75" customHeight="1">
      <c r="C118" s="4"/>
      <c r="D118" s="4"/>
    </row>
    <row r="119" ht="15.75" customHeight="1">
      <c r="C119" s="4"/>
      <c r="D119" s="4"/>
    </row>
    <row r="120" ht="15.75" customHeight="1">
      <c r="C120" s="4"/>
      <c r="D120" s="4"/>
    </row>
    <row r="121" ht="15.75" customHeight="1">
      <c r="C121" s="4"/>
      <c r="D121" s="4"/>
    </row>
    <row r="122" ht="15.75" customHeight="1">
      <c r="C122" s="4"/>
      <c r="D122" s="4"/>
    </row>
    <row r="123" ht="15.75" customHeight="1">
      <c r="C123" s="4"/>
      <c r="D123" s="4"/>
    </row>
    <row r="124" ht="15.75" customHeight="1">
      <c r="C124" s="4"/>
      <c r="D124" s="4"/>
    </row>
    <row r="125" ht="15.75" customHeight="1">
      <c r="C125" s="4"/>
      <c r="D125" s="4"/>
    </row>
    <row r="126" ht="15.75" customHeight="1">
      <c r="C126" s="4"/>
      <c r="D126" s="4"/>
    </row>
    <row r="127" ht="15.75" customHeight="1">
      <c r="C127" s="4"/>
      <c r="D127" s="4"/>
    </row>
    <row r="128" ht="15.75" customHeight="1">
      <c r="C128" s="4"/>
      <c r="D128" s="4"/>
    </row>
    <row r="129" ht="15.75" customHeight="1">
      <c r="C129" s="4"/>
      <c r="D129" s="4"/>
    </row>
    <row r="130" ht="15.75" customHeight="1">
      <c r="C130" s="4"/>
      <c r="D130" s="4"/>
    </row>
    <row r="131" ht="15.75" customHeight="1">
      <c r="C131" s="4"/>
      <c r="D131" s="4"/>
    </row>
    <row r="132" ht="15.75" customHeight="1">
      <c r="C132" s="4"/>
      <c r="D132" s="4"/>
    </row>
    <row r="133" ht="15.75" customHeight="1">
      <c r="C133" s="4"/>
      <c r="D133" s="4"/>
    </row>
    <row r="134" ht="15.75" customHeight="1">
      <c r="C134" s="4"/>
      <c r="D134" s="4"/>
    </row>
    <row r="135" ht="15.75" customHeight="1">
      <c r="C135" s="4"/>
      <c r="D135" s="4"/>
    </row>
    <row r="136" ht="15.75" customHeight="1">
      <c r="C136" s="4"/>
      <c r="D136" s="4"/>
    </row>
    <row r="137" ht="15.75" customHeight="1">
      <c r="C137" s="4"/>
      <c r="D137" s="4"/>
    </row>
    <row r="138" ht="15.75" customHeight="1">
      <c r="C138" s="4"/>
      <c r="D138" s="4"/>
    </row>
    <row r="139" ht="15.75" customHeight="1">
      <c r="C139" s="4"/>
      <c r="D139" s="4"/>
    </row>
    <row r="140" ht="15.75" customHeight="1">
      <c r="C140" s="4"/>
      <c r="D140" s="4"/>
    </row>
    <row r="141" ht="15.75" customHeight="1">
      <c r="C141" s="4"/>
      <c r="D141" s="4"/>
    </row>
    <row r="142" ht="15.75" customHeight="1">
      <c r="C142" s="4"/>
      <c r="D142" s="4"/>
    </row>
    <row r="143" ht="15.75" customHeight="1">
      <c r="C143" s="4"/>
      <c r="D143" s="4"/>
    </row>
    <row r="144" ht="15.75" customHeight="1">
      <c r="C144" s="4"/>
      <c r="D144" s="4"/>
    </row>
    <row r="145" ht="15.75" customHeight="1">
      <c r="C145" s="4"/>
      <c r="D145" s="4"/>
    </row>
    <row r="146" ht="15.75" customHeight="1">
      <c r="C146" s="4"/>
      <c r="D146" s="4"/>
    </row>
    <row r="147" ht="15.75" customHeight="1">
      <c r="C147" s="4"/>
      <c r="D147" s="4"/>
    </row>
    <row r="148" ht="15.75" customHeight="1">
      <c r="C148" s="4"/>
      <c r="D148" s="4"/>
    </row>
    <row r="149" ht="15.75" customHeight="1">
      <c r="C149" s="4"/>
      <c r="D149" s="4"/>
    </row>
    <row r="150" ht="15.75" customHeight="1">
      <c r="C150" s="4"/>
      <c r="D150" s="4"/>
    </row>
    <row r="151" ht="15.75" customHeight="1">
      <c r="C151" s="4"/>
      <c r="D151" s="4"/>
    </row>
    <row r="152" ht="15.75" customHeight="1">
      <c r="C152" s="4"/>
      <c r="D152" s="4"/>
    </row>
    <row r="153" ht="15.75" customHeight="1">
      <c r="C153" s="4"/>
      <c r="D153" s="4"/>
    </row>
    <row r="154" ht="15.75" customHeight="1">
      <c r="C154" s="4"/>
      <c r="D154" s="4"/>
    </row>
    <row r="155" ht="15.75" customHeight="1">
      <c r="C155" s="4"/>
      <c r="D155" s="4"/>
    </row>
    <row r="156" ht="15.75" customHeight="1">
      <c r="C156" s="4"/>
      <c r="D156" s="4"/>
    </row>
    <row r="157" ht="15.75" customHeight="1">
      <c r="C157" s="4"/>
      <c r="D157" s="4"/>
    </row>
    <row r="158" ht="15.75" customHeight="1">
      <c r="C158" s="4"/>
      <c r="D158" s="4"/>
    </row>
    <row r="159" ht="15.75" customHeight="1">
      <c r="C159" s="4"/>
      <c r="D159" s="4"/>
    </row>
    <row r="160" ht="15.75" customHeight="1">
      <c r="C160" s="4"/>
      <c r="D160" s="4"/>
    </row>
    <row r="161" ht="15.75" customHeight="1">
      <c r="C161" s="4"/>
      <c r="D161" s="4"/>
    </row>
    <row r="162" ht="15.75" customHeight="1">
      <c r="C162" s="4"/>
      <c r="D162" s="4"/>
    </row>
    <row r="163" ht="15.75" customHeight="1">
      <c r="C163" s="4"/>
      <c r="D163" s="4"/>
    </row>
    <row r="164" ht="15.75" customHeight="1">
      <c r="C164" s="4"/>
      <c r="D164" s="4"/>
    </row>
    <row r="165" ht="15.75" customHeight="1">
      <c r="C165" s="4"/>
      <c r="D165" s="4"/>
    </row>
    <row r="166" ht="15.75" customHeight="1">
      <c r="C166" s="4"/>
      <c r="D166" s="4"/>
    </row>
    <row r="167" ht="15.75" customHeight="1">
      <c r="C167" s="4"/>
      <c r="D167" s="4"/>
    </row>
    <row r="168" ht="15.75" customHeight="1">
      <c r="C168" s="4"/>
      <c r="D168" s="4"/>
    </row>
    <row r="169" ht="15.75" customHeight="1">
      <c r="C169" s="4"/>
      <c r="D169" s="4"/>
    </row>
    <row r="170" ht="15.75" customHeight="1">
      <c r="C170" s="4"/>
      <c r="D170" s="4"/>
    </row>
    <row r="171" ht="15.75" customHeight="1">
      <c r="C171" s="4"/>
      <c r="D171" s="4"/>
    </row>
    <row r="172" ht="15.75" customHeight="1">
      <c r="C172" s="4"/>
      <c r="D172" s="4"/>
    </row>
    <row r="173" ht="15.75" customHeight="1">
      <c r="C173" s="4"/>
      <c r="D173" s="4"/>
    </row>
    <row r="174" ht="15.75" customHeight="1">
      <c r="C174" s="4"/>
      <c r="D174" s="4"/>
    </row>
    <row r="175" ht="15.75" customHeight="1">
      <c r="C175" s="4"/>
      <c r="D175" s="4"/>
    </row>
    <row r="176" ht="15.75" customHeight="1">
      <c r="C176" s="4"/>
      <c r="D176" s="4"/>
    </row>
    <row r="177" ht="15.75" customHeight="1">
      <c r="C177" s="4"/>
      <c r="D177" s="4"/>
    </row>
    <row r="178" ht="15.75" customHeight="1">
      <c r="C178" s="4"/>
      <c r="D178" s="4"/>
    </row>
    <row r="179" ht="15.75" customHeight="1">
      <c r="C179" s="4"/>
      <c r="D179" s="4"/>
    </row>
    <row r="180" ht="15.75" customHeight="1">
      <c r="C180" s="4"/>
      <c r="D180" s="4"/>
    </row>
    <row r="181" ht="15.75" customHeight="1">
      <c r="C181" s="4"/>
      <c r="D181" s="4"/>
    </row>
    <row r="182" ht="15.75" customHeight="1">
      <c r="C182" s="4"/>
      <c r="D182" s="4"/>
    </row>
    <row r="183" ht="15.75" customHeight="1">
      <c r="C183" s="4"/>
      <c r="D183" s="4"/>
    </row>
    <row r="184" ht="15.75" customHeight="1">
      <c r="C184" s="4"/>
      <c r="D184" s="4"/>
    </row>
    <row r="185" ht="15.75" customHeight="1">
      <c r="C185" s="4"/>
      <c r="D185" s="4"/>
    </row>
    <row r="186" ht="15.75" customHeight="1">
      <c r="C186" s="4"/>
      <c r="D186" s="4"/>
    </row>
    <row r="187" ht="15.75" customHeight="1">
      <c r="C187" s="4"/>
      <c r="D187" s="4"/>
    </row>
    <row r="188" ht="15.75" customHeight="1">
      <c r="C188" s="4"/>
      <c r="D188" s="4"/>
    </row>
    <row r="189" ht="15.75" customHeight="1">
      <c r="C189" s="4"/>
      <c r="D189" s="4"/>
    </row>
    <row r="190" ht="15.75" customHeight="1">
      <c r="C190" s="4"/>
      <c r="D190" s="4"/>
    </row>
    <row r="191" ht="15.75" customHeight="1">
      <c r="C191" s="4"/>
      <c r="D191" s="4"/>
    </row>
    <row r="192" ht="15.75" customHeight="1">
      <c r="C192" s="4"/>
      <c r="D192" s="4"/>
    </row>
    <row r="193" ht="15.75" customHeight="1">
      <c r="C193" s="4"/>
      <c r="D193" s="4"/>
    </row>
    <row r="194" ht="15.75" customHeight="1">
      <c r="C194" s="4"/>
      <c r="D194" s="4"/>
    </row>
    <row r="195" ht="15.75" customHeight="1">
      <c r="C195" s="4"/>
      <c r="D195" s="4"/>
    </row>
    <row r="196" ht="15.75" customHeight="1">
      <c r="C196" s="4"/>
      <c r="D196" s="4"/>
    </row>
    <row r="197" ht="15.75" customHeight="1">
      <c r="C197" s="4"/>
      <c r="D197" s="4"/>
    </row>
    <row r="198" ht="15.75" customHeight="1">
      <c r="C198" s="4"/>
      <c r="D198" s="4"/>
    </row>
    <row r="199" ht="15.75" customHeight="1">
      <c r="C199" s="4"/>
      <c r="D199" s="4"/>
    </row>
    <row r="200" ht="15.75" customHeight="1">
      <c r="C200" s="4"/>
      <c r="D200" s="4"/>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2:C200">
      <formula1>"Low,Medium,High"</formula1>
    </dataValidation>
    <dataValidation type="list" allowBlank="1" sqref="D2:D200">
      <formula1>"Not Started,In Progress,Completed"</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43"/>
    <col customWidth="1" min="2" max="5" width="22.0"/>
    <col customWidth="1" min="6" max="26" width="8.71"/>
  </cols>
  <sheetData>
    <row r="1">
      <c r="A1" s="1" t="s">
        <v>35</v>
      </c>
      <c r="B1" s="1" t="s">
        <v>36</v>
      </c>
      <c r="C1" s="1" t="s">
        <v>37</v>
      </c>
      <c r="D1" s="1" t="s">
        <v>38</v>
      </c>
      <c r="E1" s="1" t="s">
        <v>4</v>
      </c>
      <c r="G1" s="1" t="s">
        <v>39</v>
      </c>
      <c r="H1" s="1" t="s">
        <v>40</v>
      </c>
    </row>
    <row r="2">
      <c r="A2" s="2" t="s">
        <v>41</v>
      </c>
      <c r="B2" s="2">
        <v>45000.0</v>
      </c>
      <c r="D2" s="4"/>
      <c r="G2" s="4">
        <f t="shared" ref="G2:H2" si="1">SUM(B2:B201)</f>
        <v>167500</v>
      </c>
      <c r="H2" s="4">
        <f t="shared" si="1"/>
        <v>0</v>
      </c>
    </row>
    <row r="3">
      <c r="A3" s="2" t="s">
        <v>42</v>
      </c>
      <c r="B3" s="2">
        <v>50000.0</v>
      </c>
      <c r="D3" s="4"/>
    </row>
    <row r="4">
      <c r="A4" s="2" t="s">
        <v>43</v>
      </c>
      <c r="B4" s="2">
        <v>25000.0</v>
      </c>
      <c r="D4" s="4"/>
    </row>
    <row r="5">
      <c r="A5" s="2" t="s">
        <v>44</v>
      </c>
      <c r="D5" s="4"/>
    </row>
    <row r="6">
      <c r="A6" s="7" t="s">
        <v>45</v>
      </c>
      <c r="B6" s="2" t="s">
        <v>46</v>
      </c>
      <c r="D6" s="4"/>
    </row>
    <row r="7">
      <c r="A7" s="7" t="s">
        <v>47</v>
      </c>
      <c r="B7" s="2"/>
      <c r="D7" s="4"/>
    </row>
    <row r="8">
      <c r="A8" s="7" t="s">
        <v>48</v>
      </c>
      <c r="B8" s="2"/>
      <c r="D8" s="4"/>
    </row>
    <row r="9">
      <c r="A9" s="7" t="s">
        <v>49</v>
      </c>
      <c r="B9" s="2">
        <v>6000.0</v>
      </c>
      <c r="D9" s="4"/>
    </row>
    <row r="10">
      <c r="A10" s="2" t="s">
        <v>50</v>
      </c>
      <c r="D10" s="4"/>
    </row>
    <row r="11">
      <c r="A11" s="2" t="s">
        <v>51</v>
      </c>
      <c r="D11" s="4"/>
    </row>
    <row r="12">
      <c r="A12" s="2" t="s">
        <v>52</v>
      </c>
      <c r="B12" s="2">
        <v>10000.0</v>
      </c>
      <c r="D12" s="4"/>
    </row>
    <row r="13">
      <c r="A13" s="2" t="s">
        <v>53</v>
      </c>
      <c r="D13" s="4"/>
    </row>
    <row r="14">
      <c r="A14" s="2" t="s">
        <v>54</v>
      </c>
      <c r="B14" s="8"/>
      <c r="D14" s="4"/>
    </row>
    <row r="15">
      <c r="A15" s="2" t="s">
        <v>55</v>
      </c>
      <c r="B15" s="2">
        <v>3000.0</v>
      </c>
      <c r="D15" s="4"/>
    </row>
    <row r="16">
      <c r="A16" s="2" t="s">
        <v>56</v>
      </c>
      <c r="D16" s="4"/>
    </row>
    <row r="17">
      <c r="A17" s="2" t="s">
        <v>57</v>
      </c>
      <c r="D17" s="4"/>
    </row>
    <row r="18">
      <c r="A18" s="2" t="s">
        <v>58</v>
      </c>
      <c r="B18" s="2">
        <v>8000.0</v>
      </c>
      <c r="D18" s="4"/>
    </row>
    <row r="19">
      <c r="A19" s="2" t="s">
        <v>59</v>
      </c>
      <c r="B19" s="2">
        <v>17500.0</v>
      </c>
      <c r="D19" s="4"/>
    </row>
    <row r="20">
      <c r="A20" s="2" t="s">
        <v>60</v>
      </c>
      <c r="D20" s="4"/>
    </row>
    <row r="21">
      <c r="A21" s="2" t="s">
        <v>61</v>
      </c>
      <c r="B21" s="2">
        <v>3000.0</v>
      </c>
      <c r="D21" s="4"/>
    </row>
    <row r="22" ht="15.75" customHeight="1">
      <c r="D22" s="4"/>
    </row>
    <row r="23" ht="15.75" customHeight="1">
      <c r="D23" s="4"/>
    </row>
    <row r="24" ht="15.75" customHeight="1">
      <c r="D24" s="4"/>
    </row>
    <row r="25" ht="15.75" customHeight="1">
      <c r="D25" s="4"/>
    </row>
    <row r="26" ht="15.75" customHeight="1">
      <c r="D26" s="4"/>
    </row>
    <row r="27" ht="15.75" customHeight="1">
      <c r="D27" s="4"/>
    </row>
    <row r="28" ht="15.75" customHeight="1">
      <c r="D28" s="4"/>
    </row>
    <row r="29" ht="15.75" customHeight="1">
      <c r="D29" s="4"/>
    </row>
    <row r="30" ht="15.75" customHeight="1">
      <c r="D30" s="4"/>
    </row>
    <row r="31" ht="15.75" customHeight="1">
      <c r="D31" s="4"/>
    </row>
    <row r="32" ht="15.75" customHeight="1">
      <c r="D32" s="4"/>
    </row>
    <row r="33" ht="15.75" customHeight="1">
      <c r="D33" s="4"/>
    </row>
    <row r="34" ht="15.75" customHeight="1">
      <c r="D34" s="4"/>
    </row>
    <row r="35" ht="15.75" customHeight="1">
      <c r="D35" s="4"/>
    </row>
    <row r="36" ht="15.75" customHeight="1">
      <c r="D36" s="4"/>
    </row>
    <row r="37" ht="15.75" customHeight="1">
      <c r="D37" s="4"/>
    </row>
    <row r="38" ht="15.75" customHeight="1">
      <c r="D38" s="4"/>
    </row>
    <row r="39" ht="15.75" customHeight="1">
      <c r="D39" s="4"/>
    </row>
    <row r="40" ht="15.75" customHeight="1">
      <c r="D40" s="4"/>
    </row>
    <row r="41" ht="15.75" customHeight="1">
      <c r="D41" s="4"/>
    </row>
    <row r="42" ht="15.75" customHeight="1">
      <c r="D42" s="4"/>
    </row>
    <row r="43" ht="15.75" customHeight="1">
      <c r="D43" s="4"/>
    </row>
    <row r="44" ht="15.75" customHeight="1">
      <c r="D44" s="4"/>
    </row>
    <row r="45" ht="15.75" customHeight="1">
      <c r="D45" s="4"/>
    </row>
    <row r="46" ht="15.75" customHeight="1">
      <c r="D46" s="4"/>
    </row>
    <row r="47" ht="15.75" customHeight="1">
      <c r="D47" s="4"/>
    </row>
    <row r="48" ht="15.75" customHeight="1">
      <c r="D48" s="4"/>
    </row>
    <row r="49" ht="15.75" customHeight="1">
      <c r="D49" s="4"/>
    </row>
    <row r="50" ht="15.75" customHeight="1">
      <c r="D50" s="4"/>
    </row>
    <row r="51" ht="15.75" customHeight="1">
      <c r="D51" s="4"/>
    </row>
    <row r="52" ht="15.75" customHeight="1">
      <c r="D52" s="4"/>
    </row>
    <row r="53" ht="15.75" customHeight="1">
      <c r="D53" s="4"/>
    </row>
    <row r="54" ht="15.75" customHeight="1">
      <c r="D54" s="4"/>
    </row>
    <row r="55" ht="15.75" customHeight="1">
      <c r="D55" s="4"/>
    </row>
    <row r="56" ht="15.75" customHeight="1">
      <c r="D56" s="4"/>
    </row>
    <row r="57" ht="15.75" customHeight="1">
      <c r="D57" s="4"/>
    </row>
    <row r="58" ht="15.75" customHeight="1">
      <c r="D58" s="4"/>
    </row>
    <row r="59" ht="15.75" customHeight="1">
      <c r="D59" s="4"/>
    </row>
    <row r="60" ht="15.75" customHeight="1">
      <c r="D60" s="4"/>
    </row>
    <row r="61" ht="15.75" customHeight="1">
      <c r="D61" s="4"/>
    </row>
    <row r="62" ht="15.75" customHeight="1">
      <c r="D62" s="4"/>
    </row>
    <row r="63" ht="15.75" customHeight="1">
      <c r="D63" s="4"/>
    </row>
    <row r="64" ht="15.75" customHeight="1">
      <c r="D64" s="4"/>
    </row>
    <row r="65" ht="15.75" customHeight="1">
      <c r="D65" s="4"/>
    </row>
    <row r="66" ht="15.75" customHeight="1">
      <c r="D66" s="4"/>
    </row>
    <row r="67" ht="15.75" customHeight="1">
      <c r="D67" s="4"/>
    </row>
    <row r="68" ht="15.75" customHeight="1">
      <c r="D68" s="4"/>
    </row>
    <row r="69" ht="15.75" customHeight="1">
      <c r="D69" s="4"/>
    </row>
    <row r="70" ht="15.75" customHeight="1">
      <c r="D70" s="4"/>
    </row>
    <row r="71" ht="15.75" customHeight="1">
      <c r="D71" s="4"/>
    </row>
    <row r="72" ht="15.75" customHeight="1">
      <c r="D72" s="4"/>
    </row>
    <row r="73" ht="15.75" customHeight="1">
      <c r="D73" s="4"/>
    </row>
    <row r="74" ht="15.75" customHeight="1">
      <c r="D74" s="4"/>
    </row>
    <row r="75" ht="15.75" customHeight="1">
      <c r="D75" s="4"/>
    </row>
    <row r="76" ht="15.75" customHeight="1">
      <c r="D76" s="4"/>
    </row>
    <row r="77" ht="15.75" customHeight="1">
      <c r="D77" s="4"/>
    </row>
    <row r="78" ht="15.75" customHeight="1">
      <c r="D78" s="4"/>
    </row>
    <row r="79" ht="15.75" customHeight="1">
      <c r="D79" s="4"/>
    </row>
    <row r="80" ht="15.75" customHeight="1">
      <c r="D80" s="4"/>
    </row>
    <row r="81" ht="15.75" customHeight="1">
      <c r="D81" s="4"/>
    </row>
    <row r="82" ht="15.75" customHeight="1">
      <c r="D82" s="4"/>
    </row>
    <row r="83" ht="15.75" customHeight="1">
      <c r="D83" s="4"/>
    </row>
    <row r="84" ht="15.75" customHeight="1">
      <c r="D84" s="4"/>
    </row>
    <row r="85" ht="15.75" customHeight="1">
      <c r="D85" s="4"/>
    </row>
    <row r="86" ht="15.75" customHeight="1">
      <c r="D86" s="4"/>
    </row>
    <row r="87" ht="15.75" customHeight="1">
      <c r="D87" s="4"/>
    </row>
    <row r="88" ht="15.75" customHeight="1">
      <c r="D88" s="4"/>
    </row>
    <row r="89" ht="15.75" customHeight="1">
      <c r="D89" s="4"/>
    </row>
    <row r="90" ht="15.75" customHeight="1">
      <c r="D90" s="4"/>
    </row>
    <row r="91" ht="15.75" customHeight="1">
      <c r="D91" s="4"/>
    </row>
    <row r="92" ht="15.75" customHeight="1">
      <c r="D92" s="4"/>
    </row>
    <row r="93" ht="15.75" customHeight="1">
      <c r="D93" s="4"/>
    </row>
    <row r="94" ht="15.75" customHeight="1">
      <c r="D94" s="4"/>
    </row>
    <row r="95" ht="15.75" customHeight="1">
      <c r="D95" s="4"/>
    </row>
    <row r="96" ht="15.75" customHeight="1">
      <c r="D96" s="4"/>
    </row>
    <row r="97" ht="15.75" customHeight="1">
      <c r="D97" s="4"/>
    </row>
    <row r="98" ht="15.75" customHeight="1">
      <c r="D98" s="4"/>
    </row>
    <row r="99" ht="15.75" customHeight="1">
      <c r="D99" s="4"/>
    </row>
    <row r="100" ht="15.75" customHeight="1">
      <c r="D100" s="4"/>
    </row>
    <row r="101" ht="15.75" customHeight="1">
      <c r="D101" s="4"/>
    </row>
    <row r="102" ht="15.75" customHeight="1">
      <c r="D102" s="4"/>
    </row>
    <row r="103" ht="15.75" customHeight="1">
      <c r="D103" s="4"/>
    </row>
    <row r="104" ht="15.75" customHeight="1">
      <c r="D104" s="4"/>
    </row>
    <row r="105" ht="15.75" customHeight="1">
      <c r="D105" s="4"/>
    </row>
    <row r="106" ht="15.75" customHeight="1">
      <c r="D106" s="4"/>
    </row>
    <row r="107" ht="15.75" customHeight="1">
      <c r="D107" s="4"/>
    </row>
    <row r="108" ht="15.75" customHeight="1">
      <c r="D108" s="4"/>
    </row>
    <row r="109" ht="15.75" customHeight="1">
      <c r="D109" s="4"/>
    </row>
    <row r="110" ht="15.75" customHeight="1">
      <c r="D110" s="4"/>
    </row>
    <row r="111" ht="15.75" customHeight="1">
      <c r="D111" s="4"/>
    </row>
    <row r="112" ht="15.75" customHeight="1">
      <c r="D112" s="4"/>
    </row>
    <row r="113" ht="15.75" customHeight="1">
      <c r="D113" s="4"/>
    </row>
    <row r="114" ht="15.75" customHeight="1">
      <c r="D114" s="4"/>
    </row>
    <row r="115" ht="15.75" customHeight="1">
      <c r="D115" s="4"/>
    </row>
    <row r="116" ht="15.75" customHeight="1">
      <c r="D116" s="4"/>
    </row>
    <row r="117" ht="15.75" customHeight="1">
      <c r="D117" s="4"/>
    </row>
    <row r="118" ht="15.75" customHeight="1">
      <c r="D118" s="4"/>
    </row>
    <row r="119" ht="15.75" customHeight="1">
      <c r="D119" s="4"/>
    </row>
    <row r="120" ht="15.75" customHeight="1">
      <c r="D120" s="4"/>
    </row>
    <row r="121" ht="15.75" customHeight="1">
      <c r="D121" s="4"/>
    </row>
    <row r="122" ht="15.75" customHeight="1">
      <c r="D122" s="4"/>
    </row>
    <row r="123" ht="15.75" customHeight="1">
      <c r="D123" s="4"/>
    </row>
    <row r="124" ht="15.75" customHeight="1">
      <c r="D124" s="4"/>
    </row>
    <row r="125" ht="15.75" customHeight="1">
      <c r="D125" s="4"/>
    </row>
    <row r="126" ht="15.75" customHeight="1">
      <c r="D126" s="4"/>
    </row>
    <row r="127" ht="15.75" customHeight="1">
      <c r="D127" s="4"/>
    </row>
    <row r="128" ht="15.75" customHeight="1">
      <c r="D128" s="4"/>
    </row>
    <row r="129" ht="15.75" customHeight="1">
      <c r="D129" s="4"/>
    </row>
    <row r="130" ht="15.75" customHeight="1">
      <c r="D130" s="4"/>
    </row>
    <row r="131" ht="15.75" customHeight="1">
      <c r="D131" s="4"/>
    </row>
    <row r="132" ht="15.75" customHeight="1">
      <c r="D132" s="4"/>
    </row>
    <row r="133" ht="15.75" customHeight="1">
      <c r="D133" s="4"/>
    </row>
    <row r="134" ht="15.75" customHeight="1">
      <c r="D134" s="4"/>
    </row>
    <row r="135" ht="15.75" customHeight="1">
      <c r="D135" s="4"/>
    </row>
    <row r="136" ht="15.75" customHeight="1">
      <c r="D136" s="4"/>
    </row>
    <row r="137" ht="15.75" customHeight="1">
      <c r="D137" s="4"/>
    </row>
    <row r="138" ht="15.75" customHeight="1">
      <c r="D138" s="4"/>
    </row>
    <row r="139" ht="15.75" customHeight="1">
      <c r="D139" s="4"/>
    </row>
    <row r="140" ht="15.75" customHeight="1">
      <c r="D140" s="4"/>
    </row>
    <row r="141" ht="15.75" customHeight="1">
      <c r="D141" s="4"/>
    </row>
    <row r="142" ht="15.75" customHeight="1">
      <c r="D142" s="4"/>
    </row>
    <row r="143" ht="15.75" customHeight="1">
      <c r="D143" s="4"/>
    </row>
    <row r="144" ht="15.75" customHeight="1">
      <c r="D144" s="4"/>
    </row>
    <row r="145" ht="15.75" customHeight="1">
      <c r="D145" s="4"/>
    </row>
    <row r="146" ht="15.75" customHeight="1">
      <c r="D146" s="4"/>
    </row>
    <row r="147" ht="15.75" customHeight="1">
      <c r="D147" s="4"/>
    </row>
    <row r="148" ht="15.75" customHeight="1">
      <c r="D148" s="4"/>
    </row>
    <row r="149" ht="15.75" customHeight="1">
      <c r="D149" s="4"/>
    </row>
    <row r="150" ht="15.75" customHeight="1">
      <c r="D150" s="4"/>
    </row>
    <row r="151" ht="15.75" customHeight="1">
      <c r="D151" s="4"/>
    </row>
    <row r="152" ht="15.75" customHeight="1">
      <c r="D152" s="4"/>
    </row>
    <row r="153" ht="15.75" customHeight="1">
      <c r="D153" s="4"/>
    </row>
    <row r="154" ht="15.75" customHeight="1">
      <c r="D154" s="4"/>
    </row>
    <row r="155" ht="15.75" customHeight="1">
      <c r="D155" s="4"/>
    </row>
    <row r="156" ht="15.75" customHeight="1">
      <c r="D156" s="4"/>
    </row>
    <row r="157" ht="15.75" customHeight="1">
      <c r="D157" s="4"/>
    </row>
    <row r="158" ht="15.75" customHeight="1">
      <c r="D158" s="4"/>
    </row>
    <row r="159" ht="15.75" customHeight="1">
      <c r="D159" s="4"/>
    </row>
    <row r="160" ht="15.75" customHeight="1">
      <c r="D160" s="4"/>
    </row>
    <row r="161" ht="15.75" customHeight="1">
      <c r="D161" s="4"/>
    </row>
    <row r="162" ht="15.75" customHeight="1">
      <c r="D162" s="4"/>
    </row>
    <row r="163" ht="15.75" customHeight="1">
      <c r="D163" s="4"/>
    </row>
    <row r="164" ht="15.75" customHeight="1">
      <c r="D164" s="4"/>
    </row>
    <row r="165" ht="15.75" customHeight="1">
      <c r="D165" s="4"/>
    </row>
    <row r="166" ht="15.75" customHeight="1">
      <c r="D166" s="4"/>
    </row>
    <row r="167" ht="15.75" customHeight="1">
      <c r="D167" s="4"/>
    </row>
    <row r="168" ht="15.75" customHeight="1">
      <c r="D168" s="4"/>
    </row>
    <row r="169" ht="15.75" customHeight="1">
      <c r="D169" s="4"/>
    </row>
    <row r="170" ht="15.75" customHeight="1">
      <c r="D170" s="4"/>
    </row>
    <row r="171" ht="15.75" customHeight="1">
      <c r="D171" s="4"/>
    </row>
    <row r="172" ht="15.75" customHeight="1">
      <c r="D172" s="4"/>
    </row>
    <row r="173" ht="15.75" customHeight="1">
      <c r="D173" s="4"/>
    </row>
    <row r="174" ht="15.75" customHeight="1">
      <c r="D174" s="4"/>
    </row>
    <row r="175" ht="15.75" customHeight="1">
      <c r="D175" s="4"/>
    </row>
    <row r="176" ht="15.75" customHeight="1">
      <c r="D176" s="4"/>
    </row>
    <row r="177" ht="15.75" customHeight="1">
      <c r="D177" s="4"/>
    </row>
    <row r="178" ht="15.75" customHeight="1">
      <c r="D178" s="4"/>
    </row>
    <row r="179" ht="15.75" customHeight="1">
      <c r="D179" s="4"/>
    </row>
    <row r="180" ht="15.75" customHeight="1">
      <c r="D180" s="4"/>
    </row>
    <row r="181" ht="15.75" customHeight="1">
      <c r="D181" s="4"/>
    </row>
    <row r="182" ht="15.75" customHeight="1">
      <c r="D182" s="4"/>
    </row>
    <row r="183" ht="15.75" customHeight="1">
      <c r="D183" s="4"/>
    </row>
    <row r="184" ht="15.75" customHeight="1">
      <c r="D184" s="4"/>
    </row>
    <row r="185" ht="15.75" customHeight="1">
      <c r="D185" s="4"/>
    </row>
    <row r="186" ht="15.75" customHeight="1">
      <c r="D186" s="4"/>
    </row>
    <row r="187" ht="15.75" customHeight="1">
      <c r="D187" s="4"/>
    </row>
    <row r="188" ht="15.75" customHeight="1">
      <c r="D188" s="4"/>
    </row>
    <row r="189" ht="15.75" customHeight="1">
      <c r="D189" s="4"/>
    </row>
    <row r="190" ht="15.75" customHeight="1">
      <c r="D190" s="4"/>
    </row>
    <row r="191" ht="15.75" customHeight="1">
      <c r="D191" s="4"/>
    </row>
    <row r="192" ht="15.75" customHeight="1">
      <c r="D192" s="4"/>
    </row>
    <row r="193" ht="15.75" customHeight="1">
      <c r="D193" s="4"/>
    </row>
    <row r="194" ht="15.75" customHeight="1">
      <c r="D194" s="4"/>
    </row>
    <row r="195" ht="15.75" customHeight="1">
      <c r="D195" s="4"/>
    </row>
    <row r="196" ht="15.75" customHeight="1">
      <c r="D196" s="4"/>
    </row>
    <row r="197" ht="15.75" customHeight="1">
      <c r="D197" s="4"/>
    </row>
    <row r="198" ht="15.75" customHeight="1">
      <c r="D198" s="4"/>
    </row>
    <row r="199" ht="15.75" customHeight="1">
      <c r="D199" s="4"/>
    </row>
    <row r="200" ht="15.75" customHeight="1">
      <c r="D200" s="4"/>
    </row>
    <row r="201" ht="15.75" customHeight="1">
      <c r="D201" s="4"/>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dataValidation type="list" allowBlank="1" sqref="D2:D201">
      <formula1>"Yes,No"</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6" max="6" width="14.43"/>
  </cols>
  <sheetData>
    <row r="1">
      <c r="G1" s="9"/>
    </row>
    <row r="2">
      <c r="A2" s="10" t="s">
        <v>62</v>
      </c>
      <c r="B2" s="11"/>
      <c r="C2" s="11"/>
      <c r="D2" s="11"/>
      <c r="E2" s="11"/>
      <c r="F2" s="11"/>
      <c r="G2" s="9"/>
      <c r="H2" s="11"/>
      <c r="I2" s="11"/>
      <c r="J2" s="11"/>
      <c r="K2" s="11"/>
      <c r="L2" s="11"/>
      <c r="M2" s="11"/>
      <c r="N2" s="11"/>
      <c r="O2" s="11"/>
      <c r="P2" s="11"/>
      <c r="Q2" s="11"/>
      <c r="R2" s="11"/>
      <c r="S2" s="11"/>
      <c r="T2" s="11"/>
      <c r="U2" s="11"/>
      <c r="V2" s="11"/>
      <c r="W2" s="11"/>
      <c r="X2" s="11"/>
      <c r="Y2" s="11"/>
      <c r="Z2" s="11"/>
    </row>
    <row r="3">
      <c r="A3" s="2" t="s">
        <v>63</v>
      </c>
      <c r="B3" s="2" t="s">
        <v>64</v>
      </c>
      <c r="C3" s="2" t="s">
        <v>65</v>
      </c>
      <c r="D3" s="2" t="s">
        <v>66</v>
      </c>
      <c r="E3" s="2" t="s">
        <v>67</v>
      </c>
      <c r="G3" s="12" t="s">
        <v>68</v>
      </c>
    </row>
    <row r="4">
      <c r="A4" s="2">
        <v>43500.0</v>
      </c>
      <c r="B4" s="2">
        <v>250.0</v>
      </c>
      <c r="C4" s="2">
        <v>80000.0</v>
      </c>
      <c r="D4" s="2">
        <v>50.0</v>
      </c>
      <c r="E4" s="2">
        <v>200.0</v>
      </c>
      <c r="G4" s="13">
        <f t="shared" ref="G4:G5" si="1">A4+C4+(B4*E4)+(D4*E4)</f>
        <v>183500</v>
      </c>
    </row>
    <row r="5">
      <c r="G5" s="13">
        <f t="shared" si="1"/>
        <v>0</v>
      </c>
    </row>
    <row r="6">
      <c r="A6" s="14" t="s">
        <v>69</v>
      </c>
      <c r="B6" s="11"/>
      <c r="C6" s="11"/>
      <c r="D6" s="11"/>
      <c r="E6" s="11"/>
      <c r="F6" s="11"/>
      <c r="G6" s="13"/>
      <c r="H6" s="11"/>
      <c r="I6" s="11"/>
      <c r="J6" s="11"/>
      <c r="K6" s="11"/>
      <c r="L6" s="11"/>
      <c r="M6" s="11"/>
      <c r="N6" s="11"/>
      <c r="O6" s="11"/>
      <c r="P6" s="11"/>
      <c r="Q6" s="11"/>
      <c r="R6" s="11"/>
      <c r="S6" s="11"/>
      <c r="T6" s="11"/>
      <c r="U6" s="11"/>
      <c r="V6" s="11"/>
      <c r="W6" s="11"/>
      <c r="X6" s="11"/>
      <c r="Y6" s="11"/>
      <c r="Z6" s="11"/>
    </row>
    <row r="7">
      <c r="A7" s="2" t="s">
        <v>63</v>
      </c>
      <c r="B7" s="2" t="s">
        <v>64</v>
      </c>
      <c r="C7" s="2" t="s">
        <v>65</v>
      </c>
      <c r="D7" s="2" t="s">
        <v>66</v>
      </c>
      <c r="E7" s="2" t="s">
        <v>67</v>
      </c>
      <c r="G7" s="13"/>
    </row>
    <row r="8">
      <c r="A8" s="2">
        <v>43000.0</v>
      </c>
      <c r="B8" s="2">
        <v>350.0</v>
      </c>
      <c r="C8" s="2">
        <v>80000.0</v>
      </c>
      <c r="D8" s="2">
        <v>50.0</v>
      </c>
      <c r="E8" s="2">
        <v>200.0</v>
      </c>
      <c r="G8" s="13">
        <f>A8+C8+(B8*E8)+(D8*E8)</f>
        <v>203000</v>
      </c>
    </row>
    <row r="9">
      <c r="A9" s="15" t="s">
        <v>63</v>
      </c>
      <c r="B9" s="15" t="s">
        <v>64</v>
      </c>
      <c r="C9" s="15" t="s">
        <v>65</v>
      </c>
      <c r="D9" s="15" t="s">
        <v>66</v>
      </c>
      <c r="E9" s="15" t="s">
        <v>67</v>
      </c>
      <c r="F9" s="15"/>
      <c r="G9" s="16"/>
      <c r="H9" s="15"/>
      <c r="I9" s="15"/>
      <c r="J9" s="15"/>
      <c r="K9" s="15"/>
      <c r="L9" s="15"/>
      <c r="M9" s="15"/>
      <c r="N9" s="15"/>
      <c r="O9" s="15"/>
      <c r="P9" s="15"/>
      <c r="Q9" s="15"/>
      <c r="R9" s="15"/>
      <c r="S9" s="15"/>
      <c r="T9" s="15"/>
      <c r="U9" s="15"/>
      <c r="V9" s="15"/>
      <c r="W9" s="15"/>
      <c r="X9" s="15"/>
      <c r="Y9" s="15"/>
      <c r="Z9" s="15"/>
    </row>
    <row r="10">
      <c r="A10" s="17" t="s">
        <v>70</v>
      </c>
      <c r="B10" s="18"/>
      <c r="C10" s="18"/>
      <c r="D10" s="18"/>
      <c r="E10" s="18"/>
      <c r="F10" s="18"/>
      <c r="G10" s="16"/>
      <c r="H10" s="18"/>
      <c r="I10" s="18"/>
      <c r="J10" s="18"/>
      <c r="K10" s="18"/>
      <c r="L10" s="18"/>
      <c r="M10" s="18"/>
      <c r="N10" s="18"/>
      <c r="O10" s="18"/>
      <c r="P10" s="18"/>
      <c r="Q10" s="18"/>
      <c r="R10" s="18"/>
      <c r="S10" s="18"/>
      <c r="T10" s="18"/>
      <c r="U10" s="18"/>
      <c r="V10" s="18"/>
      <c r="W10" s="18"/>
      <c r="X10" s="18"/>
      <c r="Y10" s="18"/>
      <c r="Z10" s="18"/>
    </row>
    <row r="11">
      <c r="A11" s="2">
        <v>86000.0</v>
      </c>
      <c r="B11" s="2">
        <v>250.0</v>
      </c>
      <c r="C11" s="2">
        <v>80000.0</v>
      </c>
      <c r="D11" s="2">
        <v>50.0</v>
      </c>
      <c r="E11" s="2">
        <v>200.0</v>
      </c>
      <c r="G11" s="13">
        <f>A11+C11+(B11*E11)+(D11*E11)</f>
        <v>226000</v>
      </c>
    </row>
    <row r="12" hidden="1">
      <c r="A12" s="17">
        <v>4.0</v>
      </c>
      <c r="B12" s="18"/>
      <c r="C12" s="18"/>
      <c r="D12" s="18"/>
      <c r="E12" s="18"/>
      <c r="F12" s="18"/>
      <c r="G12" s="16"/>
      <c r="H12" s="18"/>
      <c r="I12" s="18"/>
      <c r="J12" s="18"/>
      <c r="K12" s="18"/>
      <c r="L12" s="18"/>
      <c r="M12" s="18"/>
      <c r="N12" s="18"/>
      <c r="O12" s="18"/>
      <c r="P12" s="18"/>
      <c r="Q12" s="18"/>
      <c r="R12" s="18"/>
      <c r="S12" s="18"/>
      <c r="T12" s="18"/>
      <c r="U12" s="18"/>
      <c r="V12" s="18"/>
      <c r="W12" s="18"/>
      <c r="X12" s="18"/>
      <c r="Y12" s="18"/>
      <c r="Z12" s="18"/>
    </row>
    <row r="13" hidden="1">
      <c r="A13" s="15" t="s">
        <v>63</v>
      </c>
      <c r="B13" s="15" t="s">
        <v>64</v>
      </c>
      <c r="C13" s="15" t="s">
        <v>65</v>
      </c>
      <c r="D13" s="15" t="s">
        <v>66</v>
      </c>
      <c r="E13" s="15" t="s">
        <v>67</v>
      </c>
      <c r="F13" s="15"/>
      <c r="G13" s="16"/>
      <c r="H13" s="15"/>
      <c r="I13" s="15"/>
      <c r="J13" s="15"/>
      <c r="K13" s="15"/>
      <c r="L13" s="15"/>
      <c r="M13" s="15"/>
      <c r="N13" s="15"/>
      <c r="O13" s="15"/>
      <c r="P13" s="15"/>
      <c r="Q13" s="15"/>
      <c r="R13" s="15"/>
      <c r="S13" s="15"/>
      <c r="T13" s="15"/>
      <c r="U13" s="15"/>
      <c r="V13" s="15"/>
      <c r="W13" s="15"/>
      <c r="X13" s="15"/>
      <c r="Y13" s="15"/>
      <c r="Z13" s="15"/>
    </row>
    <row r="14">
      <c r="A14" s="19" t="s">
        <v>71</v>
      </c>
      <c r="G14" s="13" t="str">
        <f t="shared" ref="G14:G15" si="2">A14+C14+(B14*E14)+(D14*E14)</f>
        <v>#VALUE!</v>
      </c>
    </row>
    <row r="15">
      <c r="G15" s="13">
        <f t="shared" si="2"/>
        <v>0</v>
      </c>
    </row>
    <row r="16">
      <c r="A16" s="14" t="s">
        <v>72</v>
      </c>
      <c r="B16" s="11"/>
      <c r="C16" s="11"/>
      <c r="D16" s="11"/>
      <c r="E16" s="11"/>
      <c r="F16" s="11"/>
      <c r="G16" s="13"/>
    </row>
    <row r="17">
      <c r="A17" s="2" t="s">
        <v>63</v>
      </c>
      <c r="B17" s="2" t="s">
        <v>64</v>
      </c>
      <c r="C17" s="2" t="s">
        <v>65</v>
      </c>
      <c r="D17" s="2" t="s">
        <v>66</v>
      </c>
      <c r="E17" s="2" t="s">
        <v>67</v>
      </c>
      <c r="G17" s="13"/>
    </row>
    <row r="18">
      <c r="A18" s="2">
        <v>725.0</v>
      </c>
      <c r="B18" s="2">
        <v>0.0</v>
      </c>
      <c r="C18" s="2">
        <v>0.0</v>
      </c>
      <c r="D18" s="2">
        <v>0.0</v>
      </c>
      <c r="E18" s="2">
        <v>150.0</v>
      </c>
      <c r="G18" s="13">
        <f>(A18*E18)+C18+(B18*E18)+(D18*E18)</f>
        <v>108750</v>
      </c>
    </row>
    <row r="19">
      <c r="A19" s="2" t="s">
        <v>73</v>
      </c>
      <c r="G19" s="9"/>
    </row>
    <row r="20">
      <c r="G20" s="9"/>
    </row>
    <row r="21">
      <c r="A21" s="14" t="s">
        <v>74</v>
      </c>
      <c r="B21" s="11"/>
      <c r="C21" s="11"/>
      <c r="D21" s="11"/>
      <c r="E21" s="11"/>
      <c r="F21" s="11"/>
      <c r="G21" s="13"/>
    </row>
    <row r="22">
      <c r="A22" s="2" t="s">
        <v>63</v>
      </c>
      <c r="B22" s="2" t="s">
        <v>64</v>
      </c>
      <c r="C22" s="2" t="s">
        <v>65</v>
      </c>
      <c r="D22" s="2" t="s">
        <v>66</v>
      </c>
      <c r="E22" s="2" t="s">
        <v>67</v>
      </c>
      <c r="G22" s="13"/>
    </row>
    <row r="23">
      <c r="A23" s="2">
        <v>90800.0</v>
      </c>
      <c r="B23" s="2">
        <v>350.0</v>
      </c>
      <c r="C23" s="2">
        <v>0.0</v>
      </c>
      <c r="D23" s="2">
        <v>50.0</v>
      </c>
      <c r="E23" s="2">
        <v>200.0</v>
      </c>
      <c r="G23" s="13">
        <f>A23+C23+(B23*E23)+(D23*E23)</f>
        <v>170800</v>
      </c>
    </row>
    <row r="24">
      <c r="G24" s="9"/>
    </row>
    <row r="25">
      <c r="G25" s="9"/>
    </row>
    <row r="26">
      <c r="G26" s="9"/>
    </row>
    <row r="27">
      <c r="G27" s="9"/>
    </row>
    <row r="28">
      <c r="G28" s="9"/>
    </row>
    <row r="29">
      <c r="G29" s="9"/>
    </row>
    <row r="30">
      <c r="G30" s="9"/>
    </row>
    <row r="31">
      <c r="G31" s="9"/>
    </row>
    <row r="32">
      <c r="G32" s="9"/>
    </row>
    <row r="33">
      <c r="G33" s="9"/>
    </row>
    <row r="34">
      <c r="G34" s="9"/>
    </row>
    <row r="35">
      <c r="G35" s="9"/>
    </row>
    <row r="36">
      <c r="G36" s="9"/>
    </row>
    <row r="37">
      <c r="G37" s="9"/>
    </row>
    <row r="38">
      <c r="G38" s="9"/>
    </row>
    <row r="39">
      <c r="G39" s="9"/>
    </row>
    <row r="40">
      <c r="G40" s="9"/>
    </row>
    <row r="41">
      <c r="G41" s="9"/>
    </row>
    <row r="42">
      <c r="G42" s="9"/>
    </row>
    <row r="43">
      <c r="G43" s="9"/>
    </row>
    <row r="44">
      <c r="G44" s="9"/>
    </row>
    <row r="45">
      <c r="G45" s="9"/>
    </row>
    <row r="46">
      <c r="G46" s="9"/>
    </row>
    <row r="47">
      <c r="G47" s="9"/>
    </row>
    <row r="48">
      <c r="G48" s="9"/>
    </row>
    <row r="49">
      <c r="G49" s="9"/>
    </row>
    <row r="50">
      <c r="G50" s="9"/>
    </row>
    <row r="51">
      <c r="G51" s="9"/>
    </row>
    <row r="52">
      <c r="G52" s="9"/>
    </row>
    <row r="53">
      <c r="G53" s="9"/>
    </row>
    <row r="54">
      <c r="G54" s="9"/>
    </row>
    <row r="55">
      <c r="G55" s="9"/>
    </row>
    <row r="56">
      <c r="G56" s="9"/>
    </row>
    <row r="57">
      <c r="G57" s="9"/>
    </row>
    <row r="58">
      <c r="G58" s="9"/>
    </row>
    <row r="59">
      <c r="G59" s="9"/>
    </row>
    <row r="60">
      <c r="G60" s="9"/>
    </row>
    <row r="61">
      <c r="G61" s="9"/>
    </row>
    <row r="62">
      <c r="G62" s="9"/>
    </row>
    <row r="63">
      <c r="G63" s="9"/>
    </row>
    <row r="64">
      <c r="G64" s="9"/>
    </row>
    <row r="65">
      <c r="G65" s="9"/>
    </row>
    <row r="66">
      <c r="G66" s="9"/>
    </row>
    <row r="67">
      <c r="G67" s="9"/>
    </row>
    <row r="68">
      <c r="G68" s="9"/>
    </row>
    <row r="69">
      <c r="G69" s="9"/>
    </row>
    <row r="70">
      <c r="G70" s="9"/>
    </row>
    <row r="71">
      <c r="G71" s="9"/>
    </row>
    <row r="72">
      <c r="G72" s="9"/>
    </row>
    <row r="73">
      <c r="G73" s="9"/>
    </row>
    <row r="74">
      <c r="G74" s="9"/>
    </row>
    <row r="75">
      <c r="G75" s="9"/>
    </row>
    <row r="76">
      <c r="G76" s="9"/>
    </row>
    <row r="77">
      <c r="G77" s="9"/>
    </row>
    <row r="78">
      <c r="G78" s="9"/>
    </row>
    <row r="79">
      <c r="G79" s="9"/>
    </row>
    <row r="80">
      <c r="G80" s="9"/>
    </row>
    <row r="81">
      <c r="G81" s="9"/>
    </row>
    <row r="82">
      <c r="G82" s="9"/>
    </row>
    <row r="83">
      <c r="G83" s="9"/>
    </row>
    <row r="84">
      <c r="G84" s="9"/>
    </row>
    <row r="85">
      <c r="G85" s="9"/>
    </row>
    <row r="86">
      <c r="G86" s="9"/>
    </row>
    <row r="87">
      <c r="G87" s="9"/>
    </row>
    <row r="88">
      <c r="G88" s="9"/>
    </row>
    <row r="89">
      <c r="G89" s="9"/>
    </row>
    <row r="90">
      <c r="G90" s="9"/>
    </row>
    <row r="91">
      <c r="G91" s="9"/>
    </row>
    <row r="92">
      <c r="G92" s="9"/>
    </row>
    <row r="93">
      <c r="G93" s="9"/>
    </row>
    <row r="94">
      <c r="G94" s="9"/>
    </row>
    <row r="95">
      <c r="G95" s="9"/>
    </row>
    <row r="96">
      <c r="G96" s="9"/>
    </row>
    <row r="97">
      <c r="G97" s="9"/>
    </row>
    <row r="98">
      <c r="G98" s="9"/>
    </row>
    <row r="99">
      <c r="G99" s="9"/>
    </row>
    <row r="100">
      <c r="G100" s="9"/>
    </row>
    <row r="101">
      <c r="G101" s="9"/>
    </row>
    <row r="102">
      <c r="G102" s="9"/>
    </row>
    <row r="103">
      <c r="G103" s="9"/>
    </row>
    <row r="104">
      <c r="G104" s="9"/>
    </row>
    <row r="105">
      <c r="G105" s="9"/>
    </row>
    <row r="106">
      <c r="G106" s="9"/>
    </row>
    <row r="107">
      <c r="G107" s="9"/>
    </row>
    <row r="108">
      <c r="G108" s="9"/>
    </row>
    <row r="109">
      <c r="G109" s="9"/>
    </row>
    <row r="110">
      <c r="G110" s="9"/>
    </row>
    <row r="111">
      <c r="G111" s="9"/>
    </row>
    <row r="112">
      <c r="G112" s="9"/>
    </row>
    <row r="113">
      <c r="G113" s="9"/>
    </row>
    <row r="114">
      <c r="G114" s="9"/>
    </row>
    <row r="115">
      <c r="G115" s="9"/>
    </row>
    <row r="116">
      <c r="G116" s="9"/>
    </row>
    <row r="117">
      <c r="G117" s="9"/>
    </row>
    <row r="118">
      <c r="G118" s="9"/>
    </row>
    <row r="119">
      <c r="G119" s="9"/>
    </row>
    <row r="120">
      <c r="G120" s="9"/>
    </row>
    <row r="121">
      <c r="G121" s="9"/>
    </row>
    <row r="122">
      <c r="G122" s="9"/>
    </row>
    <row r="123">
      <c r="G123" s="9"/>
    </row>
    <row r="124">
      <c r="G124" s="9"/>
    </row>
    <row r="125">
      <c r="G125" s="9"/>
    </row>
    <row r="126">
      <c r="G126" s="9"/>
    </row>
    <row r="127">
      <c r="G127" s="9"/>
    </row>
    <row r="128">
      <c r="G128" s="9"/>
    </row>
    <row r="129">
      <c r="G129" s="9"/>
    </row>
    <row r="130">
      <c r="G130" s="9"/>
    </row>
    <row r="131">
      <c r="G131" s="9"/>
    </row>
    <row r="132">
      <c r="G132" s="9"/>
    </row>
    <row r="133">
      <c r="G133" s="9"/>
    </row>
    <row r="134">
      <c r="G134" s="9"/>
    </row>
    <row r="135">
      <c r="G135" s="9"/>
    </row>
    <row r="136">
      <c r="G136" s="9"/>
    </row>
    <row r="137">
      <c r="G137" s="9"/>
    </row>
    <row r="138">
      <c r="G138" s="9"/>
    </row>
    <row r="139">
      <c r="G139" s="9"/>
    </row>
    <row r="140">
      <c r="G140" s="9"/>
    </row>
    <row r="141">
      <c r="G141" s="9"/>
    </row>
    <row r="142">
      <c r="G142" s="9"/>
    </row>
    <row r="143">
      <c r="G143" s="9"/>
    </row>
    <row r="144">
      <c r="G144" s="9"/>
    </row>
    <row r="145">
      <c r="G145" s="9"/>
    </row>
    <row r="146">
      <c r="G146" s="9"/>
    </row>
    <row r="147">
      <c r="G147" s="9"/>
    </row>
    <row r="148">
      <c r="G148" s="9"/>
    </row>
    <row r="149">
      <c r="G149" s="9"/>
    </row>
    <row r="150">
      <c r="G150" s="9"/>
    </row>
    <row r="151">
      <c r="G151" s="9"/>
    </row>
    <row r="152">
      <c r="G152" s="9"/>
    </row>
    <row r="153">
      <c r="G153" s="9"/>
    </row>
    <row r="154">
      <c r="G154" s="9"/>
    </row>
    <row r="155">
      <c r="G155" s="9"/>
    </row>
    <row r="156">
      <c r="G156" s="9"/>
    </row>
    <row r="157">
      <c r="G157" s="9"/>
    </row>
    <row r="158">
      <c r="G158" s="9"/>
    </row>
    <row r="159">
      <c r="G159" s="9"/>
    </row>
    <row r="160">
      <c r="G160" s="9"/>
    </row>
    <row r="161">
      <c r="G161" s="9"/>
    </row>
    <row r="162">
      <c r="G162" s="9"/>
    </row>
    <row r="163">
      <c r="G163" s="9"/>
    </row>
    <row r="164">
      <c r="G164" s="9"/>
    </row>
    <row r="165">
      <c r="G165" s="9"/>
    </row>
    <row r="166">
      <c r="G166" s="9"/>
    </row>
    <row r="167">
      <c r="G167" s="9"/>
    </row>
    <row r="168">
      <c r="G168" s="9"/>
    </row>
    <row r="169">
      <c r="G169" s="9"/>
    </row>
    <row r="170">
      <c r="G170" s="9"/>
    </row>
    <row r="171">
      <c r="G171" s="9"/>
    </row>
    <row r="172">
      <c r="G172" s="9"/>
    </row>
    <row r="173">
      <c r="G173" s="9"/>
    </row>
    <row r="174">
      <c r="G174" s="9"/>
    </row>
    <row r="175">
      <c r="G175" s="9"/>
    </row>
    <row r="176">
      <c r="G176" s="9"/>
    </row>
    <row r="177">
      <c r="G177" s="9"/>
    </row>
    <row r="178">
      <c r="G178" s="9"/>
    </row>
    <row r="179">
      <c r="G179" s="9"/>
    </row>
    <row r="180">
      <c r="G180" s="9"/>
    </row>
    <row r="181">
      <c r="G181" s="9"/>
    </row>
    <row r="182">
      <c r="G182" s="9"/>
    </row>
    <row r="183">
      <c r="G183" s="9"/>
    </row>
    <row r="184">
      <c r="G184" s="9"/>
    </row>
    <row r="185">
      <c r="G185" s="9"/>
    </row>
    <row r="186">
      <c r="G186" s="9"/>
    </row>
    <row r="187">
      <c r="G187" s="9"/>
    </row>
    <row r="188">
      <c r="G188" s="9"/>
    </row>
    <row r="189">
      <c r="G189" s="9"/>
    </row>
    <row r="190">
      <c r="G190" s="9"/>
    </row>
    <row r="191">
      <c r="G191" s="9"/>
    </row>
    <row r="192">
      <c r="G192" s="9"/>
    </row>
    <row r="193">
      <c r="G193" s="9"/>
    </row>
    <row r="194">
      <c r="G194" s="9"/>
    </row>
    <row r="195">
      <c r="G195" s="9"/>
    </row>
    <row r="196">
      <c r="G196" s="9"/>
    </row>
    <row r="197">
      <c r="G197" s="9"/>
    </row>
    <row r="198">
      <c r="G198" s="9"/>
    </row>
    <row r="199">
      <c r="G199" s="9"/>
    </row>
    <row r="200">
      <c r="G200" s="9"/>
    </row>
    <row r="201">
      <c r="G201" s="9"/>
    </row>
    <row r="202">
      <c r="G202" s="9"/>
    </row>
    <row r="203">
      <c r="G203" s="9"/>
    </row>
    <row r="204">
      <c r="G204" s="9"/>
    </row>
    <row r="205">
      <c r="G205" s="9"/>
    </row>
    <row r="206">
      <c r="G206" s="9"/>
    </row>
    <row r="207">
      <c r="G207" s="9"/>
    </row>
    <row r="208">
      <c r="G208" s="9"/>
    </row>
    <row r="209">
      <c r="G209" s="9"/>
    </row>
    <row r="210">
      <c r="G210" s="9"/>
    </row>
    <row r="211">
      <c r="G211" s="9"/>
    </row>
    <row r="212">
      <c r="G212" s="9"/>
    </row>
    <row r="213">
      <c r="G213" s="9"/>
    </row>
    <row r="214">
      <c r="G214" s="9"/>
    </row>
    <row r="215">
      <c r="G215" s="9"/>
    </row>
    <row r="216">
      <c r="G216" s="9"/>
    </row>
    <row r="217">
      <c r="G217" s="9"/>
    </row>
    <row r="218">
      <c r="G218" s="9"/>
    </row>
    <row r="219">
      <c r="G219" s="9"/>
    </row>
    <row r="220">
      <c r="G220" s="9"/>
    </row>
    <row r="221">
      <c r="G221" s="9"/>
    </row>
    <row r="222">
      <c r="G222" s="9"/>
    </row>
    <row r="223">
      <c r="G223" s="9"/>
    </row>
    <row r="224">
      <c r="G224" s="9"/>
    </row>
    <row r="225">
      <c r="G225" s="9"/>
    </row>
    <row r="226">
      <c r="G226" s="9"/>
    </row>
    <row r="227">
      <c r="G227" s="9"/>
    </row>
    <row r="228">
      <c r="G228" s="9"/>
    </row>
    <row r="229">
      <c r="G229" s="9"/>
    </row>
    <row r="230">
      <c r="G230" s="9"/>
    </row>
    <row r="231">
      <c r="G231" s="9"/>
    </row>
    <row r="232">
      <c r="G232" s="9"/>
    </row>
    <row r="233">
      <c r="G233" s="9"/>
    </row>
    <row r="234">
      <c r="G234" s="9"/>
    </row>
    <row r="235">
      <c r="G235" s="9"/>
    </row>
    <row r="236">
      <c r="G236" s="9"/>
    </row>
    <row r="237">
      <c r="G237" s="9"/>
    </row>
    <row r="238">
      <c r="G238" s="9"/>
    </row>
    <row r="239">
      <c r="G239" s="9"/>
    </row>
    <row r="240">
      <c r="G240" s="9"/>
    </row>
    <row r="241">
      <c r="G241" s="9"/>
    </row>
    <row r="242">
      <c r="G242" s="9"/>
    </row>
    <row r="243">
      <c r="G243" s="9"/>
    </row>
    <row r="244">
      <c r="G244" s="9"/>
    </row>
    <row r="245">
      <c r="G245" s="9"/>
    </row>
    <row r="246">
      <c r="G246" s="9"/>
    </row>
    <row r="247">
      <c r="G247" s="9"/>
    </row>
    <row r="248">
      <c r="G248" s="9"/>
    </row>
    <row r="249">
      <c r="G249" s="9"/>
    </row>
    <row r="250">
      <c r="G250" s="9"/>
    </row>
    <row r="251">
      <c r="G251" s="9"/>
    </row>
    <row r="252">
      <c r="G252" s="9"/>
    </row>
    <row r="253">
      <c r="G253" s="9"/>
    </row>
    <row r="254">
      <c r="G254" s="9"/>
    </row>
    <row r="255">
      <c r="G255" s="9"/>
    </row>
    <row r="256">
      <c r="G256" s="9"/>
    </row>
    <row r="257">
      <c r="G257" s="9"/>
    </row>
    <row r="258">
      <c r="G258" s="9"/>
    </row>
    <row r="259">
      <c r="G259" s="9"/>
    </row>
    <row r="260">
      <c r="G260" s="9"/>
    </row>
    <row r="261">
      <c r="G261" s="9"/>
    </row>
    <row r="262">
      <c r="G262" s="9"/>
    </row>
    <row r="263">
      <c r="G263" s="9"/>
    </row>
    <row r="264">
      <c r="G264" s="9"/>
    </row>
    <row r="265">
      <c r="G265" s="9"/>
    </row>
    <row r="266">
      <c r="G266" s="9"/>
    </row>
    <row r="267">
      <c r="G267" s="9"/>
    </row>
    <row r="268">
      <c r="G268" s="9"/>
    </row>
    <row r="269">
      <c r="G269" s="9"/>
    </row>
    <row r="270">
      <c r="G270" s="9"/>
    </row>
    <row r="271">
      <c r="G271" s="9"/>
    </row>
    <row r="272">
      <c r="G272" s="9"/>
    </row>
    <row r="273">
      <c r="G273" s="9"/>
    </row>
    <row r="274">
      <c r="G274" s="9"/>
    </row>
    <row r="275">
      <c r="G275" s="9"/>
    </row>
    <row r="276">
      <c r="G276" s="9"/>
    </row>
    <row r="277">
      <c r="G277" s="9"/>
    </row>
    <row r="278">
      <c r="G278" s="9"/>
    </row>
    <row r="279">
      <c r="G279" s="9"/>
    </row>
    <row r="280">
      <c r="G280" s="9"/>
    </row>
    <row r="281">
      <c r="G281" s="9"/>
    </row>
    <row r="282">
      <c r="G282" s="9"/>
    </row>
    <row r="283">
      <c r="G283" s="9"/>
    </row>
    <row r="284">
      <c r="G284" s="9"/>
    </row>
    <row r="285">
      <c r="G285" s="9"/>
    </row>
    <row r="286">
      <c r="G286" s="9"/>
    </row>
    <row r="287">
      <c r="G287" s="9"/>
    </row>
    <row r="288">
      <c r="G288" s="9"/>
    </row>
    <row r="289">
      <c r="G289" s="9"/>
    </row>
    <row r="290">
      <c r="G290" s="9"/>
    </row>
    <row r="291">
      <c r="G291" s="9"/>
    </row>
    <row r="292">
      <c r="G292" s="9"/>
    </row>
    <row r="293">
      <c r="G293" s="9"/>
    </row>
    <row r="294">
      <c r="G294" s="9"/>
    </row>
    <row r="295">
      <c r="G295" s="9"/>
    </row>
    <row r="296">
      <c r="G296" s="9"/>
    </row>
    <row r="297">
      <c r="G297" s="9"/>
    </row>
    <row r="298">
      <c r="G298" s="9"/>
    </row>
    <row r="299">
      <c r="G299" s="9"/>
    </row>
    <row r="300">
      <c r="G300" s="9"/>
    </row>
    <row r="301">
      <c r="G301" s="9"/>
    </row>
    <row r="302">
      <c r="G302" s="9"/>
    </row>
    <row r="303">
      <c r="G303" s="9"/>
    </row>
    <row r="304">
      <c r="G304" s="9"/>
    </row>
    <row r="305">
      <c r="G305" s="9"/>
    </row>
    <row r="306">
      <c r="G306" s="9"/>
    </row>
    <row r="307">
      <c r="G307" s="9"/>
    </row>
    <row r="308">
      <c r="G308" s="9"/>
    </row>
    <row r="309">
      <c r="G309" s="9"/>
    </row>
    <row r="310">
      <c r="G310" s="9"/>
    </row>
    <row r="311">
      <c r="G311" s="9"/>
    </row>
    <row r="312">
      <c r="G312" s="9"/>
    </row>
    <row r="313">
      <c r="G313" s="9"/>
    </row>
    <row r="314">
      <c r="G314" s="9"/>
    </row>
    <row r="315">
      <c r="G315" s="9"/>
    </row>
    <row r="316">
      <c r="G316" s="9"/>
    </row>
    <row r="317">
      <c r="G317" s="9"/>
    </row>
    <row r="318">
      <c r="G318" s="9"/>
    </row>
    <row r="319">
      <c r="G319" s="9"/>
    </row>
    <row r="320">
      <c r="G320" s="9"/>
    </row>
    <row r="321">
      <c r="G321" s="9"/>
    </row>
    <row r="322">
      <c r="G322" s="9"/>
    </row>
    <row r="323">
      <c r="G323" s="9"/>
    </row>
    <row r="324">
      <c r="G324" s="9"/>
    </row>
    <row r="325">
      <c r="G325" s="9"/>
    </row>
    <row r="326">
      <c r="G326" s="9"/>
    </row>
    <row r="327">
      <c r="G327" s="9"/>
    </row>
    <row r="328">
      <c r="G328" s="9"/>
    </row>
    <row r="329">
      <c r="G329" s="9"/>
    </row>
    <row r="330">
      <c r="G330" s="9"/>
    </row>
    <row r="331">
      <c r="G331" s="9"/>
    </row>
    <row r="332">
      <c r="G332" s="9"/>
    </row>
    <row r="333">
      <c r="G333" s="9"/>
    </row>
    <row r="334">
      <c r="G334" s="9"/>
    </row>
    <row r="335">
      <c r="G335" s="9"/>
    </row>
    <row r="336">
      <c r="G336" s="9"/>
    </row>
    <row r="337">
      <c r="G337" s="9"/>
    </row>
    <row r="338">
      <c r="G338" s="9"/>
    </row>
    <row r="339">
      <c r="G339" s="9"/>
    </row>
    <row r="340">
      <c r="G340" s="9"/>
    </row>
    <row r="341">
      <c r="G341" s="9"/>
    </row>
    <row r="342">
      <c r="G342" s="9"/>
    </row>
    <row r="343">
      <c r="G343" s="9"/>
    </row>
    <row r="344">
      <c r="G344" s="9"/>
    </row>
    <row r="345">
      <c r="G345" s="9"/>
    </row>
    <row r="346">
      <c r="G346" s="9"/>
    </row>
    <row r="347">
      <c r="G347" s="9"/>
    </row>
    <row r="348">
      <c r="G348" s="9"/>
    </row>
    <row r="349">
      <c r="G349" s="9"/>
    </row>
    <row r="350">
      <c r="G350" s="9"/>
    </row>
    <row r="351">
      <c r="G351" s="9"/>
    </row>
    <row r="352">
      <c r="G352" s="9"/>
    </row>
    <row r="353">
      <c r="G353" s="9"/>
    </row>
    <row r="354">
      <c r="G354" s="9"/>
    </row>
    <row r="355">
      <c r="G355" s="9"/>
    </row>
    <row r="356">
      <c r="G356" s="9"/>
    </row>
    <row r="357">
      <c r="G357" s="9"/>
    </row>
    <row r="358">
      <c r="G358" s="9"/>
    </row>
    <row r="359">
      <c r="G359" s="9"/>
    </row>
    <row r="360">
      <c r="G360" s="9"/>
    </row>
    <row r="361">
      <c r="G361" s="9"/>
    </row>
    <row r="362">
      <c r="G362" s="9"/>
    </row>
    <row r="363">
      <c r="G363" s="9"/>
    </row>
    <row r="364">
      <c r="G364" s="9"/>
    </row>
    <row r="365">
      <c r="G365" s="9"/>
    </row>
    <row r="366">
      <c r="G366" s="9"/>
    </row>
    <row r="367">
      <c r="G367" s="9"/>
    </row>
    <row r="368">
      <c r="G368" s="9"/>
    </row>
    <row r="369">
      <c r="G369" s="9"/>
    </row>
    <row r="370">
      <c r="G370" s="9"/>
    </row>
    <row r="371">
      <c r="G371" s="9"/>
    </row>
    <row r="372">
      <c r="G372" s="9"/>
    </row>
    <row r="373">
      <c r="G373" s="9"/>
    </row>
    <row r="374">
      <c r="G374" s="9"/>
    </row>
    <row r="375">
      <c r="G375" s="9"/>
    </row>
    <row r="376">
      <c r="G376" s="9"/>
    </row>
    <row r="377">
      <c r="G377" s="9"/>
    </row>
    <row r="378">
      <c r="G378" s="9"/>
    </row>
    <row r="379">
      <c r="G379" s="9"/>
    </row>
    <row r="380">
      <c r="G380" s="9"/>
    </row>
    <row r="381">
      <c r="G381" s="9"/>
    </row>
    <row r="382">
      <c r="G382" s="9"/>
    </row>
    <row r="383">
      <c r="G383" s="9"/>
    </row>
    <row r="384">
      <c r="G384" s="9"/>
    </row>
    <row r="385">
      <c r="G385" s="9"/>
    </row>
    <row r="386">
      <c r="G386" s="9"/>
    </row>
    <row r="387">
      <c r="G387" s="9"/>
    </row>
    <row r="388">
      <c r="G388" s="9"/>
    </row>
    <row r="389">
      <c r="G389" s="9"/>
    </row>
    <row r="390">
      <c r="G390" s="9"/>
    </row>
    <row r="391">
      <c r="G391" s="9"/>
    </row>
    <row r="392">
      <c r="G392" s="9"/>
    </row>
    <row r="393">
      <c r="G393" s="9"/>
    </row>
    <row r="394">
      <c r="G394" s="9"/>
    </row>
    <row r="395">
      <c r="G395" s="9"/>
    </row>
    <row r="396">
      <c r="G396" s="9"/>
    </row>
    <row r="397">
      <c r="G397" s="9"/>
    </row>
    <row r="398">
      <c r="G398" s="9"/>
    </row>
    <row r="399">
      <c r="G399" s="9"/>
    </row>
    <row r="400">
      <c r="G400" s="9"/>
    </row>
    <row r="401">
      <c r="G401" s="9"/>
    </row>
    <row r="402">
      <c r="G402" s="9"/>
    </row>
    <row r="403">
      <c r="G403" s="9"/>
    </row>
    <row r="404">
      <c r="G404" s="9"/>
    </row>
    <row r="405">
      <c r="G405" s="9"/>
    </row>
    <row r="406">
      <c r="G406" s="9"/>
    </row>
    <row r="407">
      <c r="G407" s="9"/>
    </row>
    <row r="408">
      <c r="G408" s="9"/>
    </row>
    <row r="409">
      <c r="G409" s="9"/>
    </row>
    <row r="410">
      <c r="G410" s="9"/>
    </row>
    <row r="411">
      <c r="G411" s="9"/>
    </row>
    <row r="412">
      <c r="G412" s="9"/>
    </row>
    <row r="413">
      <c r="G413" s="9"/>
    </row>
    <row r="414">
      <c r="G414" s="9"/>
    </row>
    <row r="415">
      <c r="G415" s="9"/>
    </row>
    <row r="416">
      <c r="G416" s="9"/>
    </row>
    <row r="417">
      <c r="G417" s="9"/>
    </row>
    <row r="418">
      <c r="G418" s="9"/>
    </row>
    <row r="419">
      <c r="G419" s="9"/>
    </row>
    <row r="420">
      <c r="G420" s="9"/>
    </row>
    <row r="421">
      <c r="G421" s="9"/>
    </row>
    <row r="422">
      <c r="G422" s="9"/>
    </row>
    <row r="423">
      <c r="G423" s="9"/>
    </row>
    <row r="424">
      <c r="G424" s="9"/>
    </row>
    <row r="425">
      <c r="G425" s="9"/>
    </row>
    <row r="426">
      <c r="G426" s="9"/>
    </row>
    <row r="427">
      <c r="G427" s="9"/>
    </row>
    <row r="428">
      <c r="G428" s="9"/>
    </row>
    <row r="429">
      <c r="G429" s="9"/>
    </row>
    <row r="430">
      <c r="G430" s="9"/>
    </row>
    <row r="431">
      <c r="G431" s="9"/>
    </row>
    <row r="432">
      <c r="G432" s="9"/>
    </row>
    <row r="433">
      <c r="G433" s="9"/>
    </row>
    <row r="434">
      <c r="G434" s="9"/>
    </row>
    <row r="435">
      <c r="G435" s="9"/>
    </row>
    <row r="436">
      <c r="G436" s="9"/>
    </row>
    <row r="437">
      <c r="G437" s="9"/>
    </row>
    <row r="438">
      <c r="G438" s="9"/>
    </row>
    <row r="439">
      <c r="G439" s="9"/>
    </row>
    <row r="440">
      <c r="G440" s="9"/>
    </row>
    <row r="441">
      <c r="G441" s="9"/>
    </row>
    <row r="442">
      <c r="G442" s="9"/>
    </row>
    <row r="443">
      <c r="G443" s="9"/>
    </row>
    <row r="444">
      <c r="G444" s="9"/>
    </row>
    <row r="445">
      <c r="G445" s="9"/>
    </row>
    <row r="446">
      <c r="G446" s="9"/>
    </row>
    <row r="447">
      <c r="G447" s="9"/>
    </row>
    <row r="448">
      <c r="G448" s="9"/>
    </row>
    <row r="449">
      <c r="G449" s="9"/>
    </row>
    <row r="450">
      <c r="G450" s="9"/>
    </row>
    <row r="451">
      <c r="G451" s="9"/>
    </row>
    <row r="452">
      <c r="G452" s="9"/>
    </row>
    <row r="453">
      <c r="G453" s="9"/>
    </row>
    <row r="454">
      <c r="G454" s="9"/>
    </row>
    <row r="455">
      <c r="G455" s="9"/>
    </row>
    <row r="456">
      <c r="G456" s="9"/>
    </row>
    <row r="457">
      <c r="G457" s="9"/>
    </row>
    <row r="458">
      <c r="G458" s="9"/>
    </row>
    <row r="459">
      <c r="G459" s="9"/>
    </row>
    <row r="460">
      <c r="G460" s="9"/>
    </row>
    <row r="461">
      <c r="G461" s="9"/>
    </row>
    <row r="462">
      <c r="G462" s="9"/>
    </row>
    <row r="463">
      <c r="G463" s="9"/>
    </row>
    <row r="464">
      <c r="G464" s="9"/>
    </row>
    <row r="465">
      <c r="G465" s="9"/>
    </row>
    <row r="466">
      <c r="G466" s="9"/>
    </row>
    <row r="467">
      <c r="G467" s="9"/>
    </row>
    <row r="468">
      <c r="G468" s="9"/>
    </row>
    <row r="469">
      <c r="G469" s="9"/>
    </row>
    <row r="470">
      <c r="G470" s="9"/>
    </row>
    <row r="471">
      <c r="G471" s="9"/>
    </row>
    <row r="472">
      <c r="G472" s="9"/>
    </row>
    <row r="473">
      <c r="G473" s="9"/>
    </row>
    <row r="474">
      <c r="G474" s="9"/>
    </row>
    <row r="475">
      <c r="G475" s="9"/>
    </row>
    <row r="476">
      <c r="G476" s="9"/>
    </row>
    <row r="477">
      <c r="G477" s="9"/>
    </row>
    <row r="478">
      <c r="G478" s="9"/>
    </row>
    <row r="479">
      <c r="G479" s="9"/>
    </row>
    <row r="480">
      <c r="G480" s="9"/>
    </row>
    <row r="481">
      <c r="G481" s="9"/>
    </row>
    <row r="482">
      <c r="G482" s="9"/>
    </row>
    <row r="483">
      <c r="G483" s="9"/>
    </row>
    <row r="484">
      <c r="G484" s="9"/>
    </row>
    <row r="485">
      <c r="G485" s="9"/>
    </row>
    <row r="486">
      <c r="G486" s="9"/>
    </row>
    <row r="487">
      <c r="G487" s="9"/>
    </row>
    <row r="488">
      <c r="G488" s="9"/>
    </row>
    <row r="489">
      <c r="G489" s="9"/>
    </row>
    <row r="490">
      <c r="G490" s="9"/>
    </row>
    <row r="491">
      <c r="G491" s="9"/>
    </row>
    <row r="492">
      <c r="G492" s="9"/>
    </row>
    <row r="493">
      <c r="G493" s="9"/>
    </row>
    <row r="494">
      <c r="G494" s="9"/>
    </row>
    <row r="495">
      <c r="G495" s="9"/>
    </row>
    <row r="496">
      <c r="G496" s="9"/>
    </row>
    <row r="497">
      <c r="G497" s="9"/>
    </row>
    <row r="498">
      <c r="G498" s="9"/>
    </row>
    <row r="499">
      <c r="G499" s="9"/>
    </row>
    <row r="500">
      <c r="G500" s="9"/>
    </row>
    <row r="501">
      <c r="G501" s="9"/>
    </row>
    <row r="502">
      <c r="G502" s="9"/>
    </row>
    <row r="503">
      <c r="G503" s="9"/>
    </row>
    <row r="504">
      <c r="G504" s="9"/>
    </row>
    <row r="505">
      <c r="G505" s="9"/>
    </row>
    <row r="506">
      <c r="G506" s="9"/>
    </row>
    <row r="507">
      <c r="G507" s="9"/>
    </row>
    <row r="508">
      <c r="G508" s="9"/>
    </row>
    <row r="509">
      <c r="G509" s="9"/>
    </row>
    <row r="510">
      <c r="G510" s="9"/>
    </row>
    <row r="511">
      <c r="G511" s="9"/>
    </row>
    <row r="512">
      <c r="G512" s="9"/>
    </row>
    <row r="513">
      <c r="G513" s="9"/>
    </row>
    <row r="514">
      <c r="G514" s="9"/>
    </row>
    <row r="515">
      <c r="G515" s="9"/>
    </row>
    <row r="516">
      <c r="G516" s="9"/>
    </row>
    <row r="517">
      <c r="G517" s="9"/>
    </row>
    <row r="518">
      <c r="G518" s="9"/>
    </row>
    <row r="519">
      <c r="G519" s="9"/>
    </row>
    <row r="520">
      <c r="G520" s="9"/>
    </row>
    <row r="521">
      <c r="G521" s="9"/>
    </row>
    <row r="522">
      <c r="G522" s="9"/>
    </row>
    <row r="523">
      <c r="G523" s="9"/>
    </row>
    <row r="524">
      <c r="G524" s="9"/>
    </row>
    <row r="525">
      <c r="G525" s="9"/>
    </row>
    <row r="526">
      <c r="G526" s="9"/>
    </row>
    <row r="527">
      <c r="G527" s="9"/>
    </row>
    <row r="528">
      <c r="G528" s="9"/>
    </row>
    <row r="529">
      <c r="G529" s="9"/>
    </row>
    <row r="530">
      <c r="G530" s="9"/>
    </row>
    <row r="531">
      <c r="G531" s="9"/>
    </row>
    <row r="532">
      <c r="G532" s="9"/>
    </row>
    <row r="533">
      <c r="G533" s="9"/>
    </row>
    <row r="534">
      <c r="G534" s="9"/>
    </row>
    <row r="535">
      <c r="G535" s="9"/>
    </row>
    <row r="536">
      <c r="G536" s="9"/>
    </row>
    <row r="537">
      <c r="G537" s="9"/>
    </row>
    <row r="538">
      <c r="G538" s="9"/>
    </row>
    <row r="539">
      <c r="G539" s="9"/>
    </row>
    <row r="540">
      <c r="G540" s="9"/>
    </row>
    <row r="541">
      <c r="G541" s="9"/>
    </row>
    <row r="542">
      <c r="G542" s="9"/>
    </row>
    <row r="543">
      <c r="G543" s="9"/>
    </row>
    <row r="544">
      <c r="G544" s="9"/>
    </row>
    <row r="545">
      <c r="G545" s="9"/>
    </row>
    <row r="546">
      <c r="G546" s="9"/>
    </row>
    <row r="547">
      <c r="G547" s="9"/>
    </row>
    <row r="548">
      <c r="G548" s="9"/>
    </row>
    <row r="549">
      <c r="G549" s="9"/>
    </row>
    <row r="550">
      <c r="G550" s="9"/>
    </row>
    <row r="551">
      <c r="G551" s="9"/>
    </row>
    <row r="552">
      <c r="G552" s="9"/>
    </row>
    <row r="553">
      <c r="G553" s="9"/>
    </row>
    <row r="554">
      <c r="G554" s="9"/>
    </row>
    <row r="555">
      <c r="G555" s="9"/>
    </row>
    <row r="556">
      <c r="G556" s="9"/>
    </row>
    <row r="557">
      <c r="G557" s="9"/>
    </row>
    <row r="558">
      <c r="G558" s="9"/>
    </row>
    <row r="559">
      <c r="G559" s="9"/>
    </row>
    <row r="560">
      <c r="G560" s="9"/>
    </row>
    <row r="561">
      <c r="G561" s="9"/>
    </row>
    <row r="562">
      <c r="G562" s="9"/>
    </row>
    <row r="563">
      <c r="G563" s="9"/>
    </row>
    <row r="564">
      <c r="G564" s="9"/>
    </row>
    <row r="565">
      <c r="G565" s="9"/>
    </row>
    <row r="566">
      <c r="G566" s="9"/>
    </row>
    <row r="567">
      <c r="G567" s="9"/>
    </row>
    <row r="568">
      <c r="G568" s="9"/>
    </row>
    <row r="569">
      <c r="G569" s="9"/>
    </row>
    <row r="570">
      <c r="G570" s="9"/>
    </row>
    <row r="571">
      <c r="G571" s="9"/>
    </row>
    <row r="572">
      <c r="G572" s="9"/>
    </row>
    <row r="573">
      <c r="G573" s="9"/>
    </row>
    <row r="574">
      <c r="G574" s="9"/>
    </row>
    <row r="575">
      <c r="G575" s="9"/>
    </row>
    <row r="576">
      <c r="G576" s="9"/>
    </row>
    <row r="577">
      <c r="G577" s="9"/>
    </row>
    <row r="578">
      <c r="G578" s="9"/>
    </row>
    <row r="579">
      <c r="G579" s="9"/>
    </row>
    <row r="580">
      <c r="G580" s="9"/>
    </row>
    <row r="581">
      <c r="G581" s="9"/>
    </row>
    <row r="582">
      <c r="G582" s="9"/>
    </row>
    <row r="583">
      <c r="G583" s="9"/>
    </row>
    <row r="584">
      <c r="G584" s="9"/>
    </row>
    <row r="585">
      <c r="G585" s="9"/>
    </row>
    <row r="586">
      <c r="G586" s="9"/>
    </row>
    <row r="587">
      <c r="G587" s="9"/>
    </row>
    <row r="588">
      <c r="G588" s="9"/>
    </row>
    <row r="589">
      <c r="G589" s="9"/>
    </row>
    <row r="590">
      <c r="G590" s="9"/>
    </row>
    <row r="591">
      <c r="G591" s="9"/>
    </row>
    <row r="592">
      <c r="G592" s="9"/>
    </row>
    <row r="593">
      <c r="G593" s="9"/>
    </row>
    <row r="594">
      <c r="G594" s="9"/>
    </row>
    <row r="595">
      <c r="G595" s="9"/>
    </row>
    <row r="596">
      <c r="G596" s="9"/>
    </row>
    <row r="597">
      <c r="G597" s="9"/>
    </row>
    <row r="598">
      <c r="G598" s="9"/>
    </row>
    <row r="599">
      <c r="G599" s="9"/>
    </row>
    <row r="600">
      <c r="G600" s="9"/>
    </row>
    <row r="601">
      <c r="G601" s="9"/>
    </row>
    <row r="602">
      <c r="G602" s="9"/>
    </row>
    <row r="603">
      <c r="G603" s="9"/>
    </row>
    <row r="604">
      <c r="G604" s="9"/>
    </row>
    <row r="605">
      <c r="G605" s="9"/>
    </row>
    <row r="606">
      <c r="G606" s="9"/>
    </row>
    <row r="607">
      <c r="G607" s="9"/>
    </row>
    <row r="608">
      <c r="G608" s="9"/>
    </row>
    <row r="609">
      <c r="G609" s="9"/>
    </row>
    <row r="610">
      <c r="G610" s="9"/>
    </row>
    <row r="611">
      <c r="G611" s="9"/>
    </row>
    <row r="612">
      <c r="G612" s="9"/>
    </row>
    <row r="613">
      <c r="G613" s="9"/>
    </row>
    <row r="614">
      <c r="G614" s="9"/>
    </row>
    <row r="615">
      <c r="G615" s="9"/>
    </row>
    <row r="616">
      <c r="G616" s="9"/>
    </row>
    <row r="617">
      <c r="G617" s="9"/>
    </row>
    <row r="618">
      <c r="G618" s="9"/>
    </row>
    <row r="619">
      <c r="G619" s="9"/>
    </row>
    <row r="620">
      <c r="G620" s="9"/>
    </row>
    <row r="621">
      <c r="G621" s="9"/>
    </row>
    <row r="622">
      <c r="G622" s="9"/>
    </row>
    <row r="623">
      <c r="G623" s="9"/>
    </row>
    <row r="624">
      <c r="G624" s="9"/>
    </row>
    <row r="625">
      <c r="G625" s="9"/>
    </row>
    <row r="626">
      <c r="G626" s="9"/>
    </row>
    <row r="627">
      <c r="G627" s="9"/>
    </row>
    <row r="628">
      <c r="G628" s="9"/>
    </row>
    <row r="629">
      <c r="G629" s="9"/>
    </row>
    <row r="630">
      <c r="G630" s="9"/>
    </row>
    <row r="631">
      <c r="G631" s="9"/>
    </row>
    <row r="632">
      <c r="G632" s="9"/>
    </row>
    <row r="633">
      <c r="G633" s="9"/>
    </row>
    <row r="634">
      <c r="G634" s="9"/>
    </row>
    <row r="635">
      <c r="G635" s="9"/>
    </row>
    <row r="636">
      <c r="G636" s="9"/>
    </row>
    <row r="637">
      <c r="G637" s="9"/>
    </row>
    <row r="638">
      <c r="G638" s="9"/>
    </row>
    <row r="639">
      <c r="G639" s="9"/>
    </row>
    <row r="640">
      <c r="G640" s="9"/>
    </row>
    <row r="641">
      <c r="G641" s="9"/>
    </row>
    <row r="642">
      <c r="G642" s="9"/>
    </row>
    <row r="643">
      <c r="G643" s="9"/>
    </row>
    <row r="644">
      <c r="G644" s="9"/>
    </row>
    <row r="645">
      <c r="G645" s="9"/>
    </row>
    <row r="646">
      <c r="G646" s="9"/>
    </row>
    <row r="647">
      <c r="G647" s="9"/>
    </row>
    <row r="648">
      <c r="G648" s="9"/>
    </row>
    <row r="649">
      <c r="G649" s="9"/>
    </row>
    <row r="650">
      <c r="G650" s="9"/>
    </row>
    <row r="651">
      <c r="G651" s="9"/>
    </row>
    <row r="652">
      <c r="G652" s="9"/>
    </row>
    <row r="653">
      <c r="G653" s="9"/>
    </row>
    <row r="654">
      <c r="G654" s="9"/>
    </row>
    <row r="655">
      <c r="G655" s="9"/>
    </row>
    <row r="656">
      <c r="G656" s="9"/>
    </row>
    <row r="657">
      <c r="G657" s="9"/>
    </row>
    <row r="658">
      <c r="G658" s="9"/>
    </row>
    <row r="659">
      <c r="G659" s="9"/>
    </row>
    <row r="660">
      <c r="G660" s="9"/>
    </row>
    <row r="661">
      <c r="G661" s="9"/>
    </row>
    <row r="662">
      <c r="G662" s="9"/>
    </row>
    <row r="663">
      <c r="G663" s="9"/>
    </row>
    <row r="664">
      <c r="G664" s="9"/>
    </row>
    <row r="665">
      <c r="G665" s="9"/>
    </row>
    <row r="666">
      <c r="G666" s="9"/>
    </row>
    <row r="667">
      <c r="G667" s="9"/>
    </row>
    <row r="668">
      <c r="G668" s="9"/>
    </row>
    <row r="669">
      <c r="G669" s="9"/>
    </row>
    <row r="670">
      <c r="G670" s="9"/>
    </row>
    <row r="671">
      <c r="G671" s="9"/>
    </row>
    <row r="672">
      <c r="G672" s="9"/>
    </row>
    <row r="673">
      <c r="G673" s="9"/>
    </row>
    <row r="674">
      <c r="G674" s="9"/>
    </row>
    <row r="675">
      <c r="G675" s="9"/>
    </row>
    <row r="676">
      <c r="G676" s="9"/>
    </row>
    <row r="677">
      <c r="G677" s="9"/>
    </row>
    <row r="678">
      <c r="G678" s="9"/>
    </row>
    <row r="679">
      <c r="G679" s="9"/>
    </row>
    <row r="680">
      <c r="G680" s="9"/>
    </row>
    <row r="681">
      <c r="G681" s="9"/>
    </row>
    <row r="682">
      <c r="G682" s="9"/>
    </row>
    <row r="683">
      <c r="G683" s="9"/>
    </row>
    <row r="684">
      <c r="G684" s="9"/>
    </row>
    <row r="685">
      <c r="G685" s="9"/>
    </row>
    <row r="686">
      <c r="G686" s="9"/>
    </row>
    <row r="687">
      <c r="G687" s="9"/>
    </row>
    <row r="688">
      <c r="G688" s="9"/>
    </row>
    <row r="689">
      <c r="G689" s="9"/>
    </row>
    <row r="690">
      <c r="G690" s="9"/>
    </row>
    <row r="691">
      <c r="G691" s="9"/>
    </row>
    <row r="692">
      <c r="G692" s="9"/>
    </row>
    <row r="693">
      <c r="G693" s="9"/>
    </row>
    <row r="694">
      <c r="G694" s="9"/>
    </row>
    <row r="695">
      <c r="G695" s="9"/>
    </row>
    <row r="696">
      <c r="G696" s="9"/>
    </row>
    <row r="697">
      <c r="G697" s="9"/>
    </row>
    <row r="698">
      <c r="G698" s="9"/>
    </row>
    <row r="699">
      <c r="G699" s="9"/>
    </row>
    <row r="700">
      <c r="G700" s="9"/>
    </row>
    <row r="701">
      <c r="G701" s="9"/>
    </row>
    <row r="702">
      <c r="G702" s="9"/>
    </row>
    <row r="703">
      <c r="G703" s="9"/>
    </row>
    <row r="704">
      <c r="G704" s="9"/>
    </row>
    <row r="705">
      <c r="G705" s="9"/>
    </row>
    <row r="706">
      <c r="G706" s="9"/>
    </row>
    <row r="707">
      <c r="G707" s="9"/>
    </row>
    <row r="708">
      <c r="G708" s="9"/>
    </row>
    <row r="709">
      <c r="G709" s="9"/>
    </row>
    <row r="710">
      <c r="G710" s="9"/>
    </row>
    <row r="711">
      <c r="G711" s="9"/>
    </row>
    <row r="712">
      <c r="G712" s="9"/>
    </row>
    <row r="713">
      <c r="G713" s="9"/>
    </row>
    <row r="714">
      <c r="G714" s="9"/>
    </row>
    <row r="715">
      <c r="G715" s="9"/>
    </row>
    <row r="716">
      <c r="G716" s="9"/>
    </row>
    <row r="717">
      <c r="G717" s="9"/>
    </row>
    <row r="718">
      <c r="G718" s="9"/>
    </row>
    <row r="719">
      <c r="G719" s="9"/>
    </row>
    <row r="720">
      <c r="G720" s="9"/>
    </row>
    <row r="721">
      <c r="G721" s="9"/>
    </row>
    <row r="722">
      <c r="G722" s="9"/>
    </row>
    <row r="723">
      <c r="G723" s="9"/>
    </row>
    <row r="724">
      <c r="G724" s="9"/>
    </row>
    <row r="725">
      <c r="G725" s="9"/>
    </row>
    <row r="726">
      <c r="G726" s="9"/>
    </row>
    <row r="727">
      <c r="G727" s="9"/>
    </row>
    <row r="728">
      <c r="G728" s="9"/>
    </row>
    <row r="729">
      <c r="G729" s="9"/>
    </row>
    <row r="730">
      <c r="G730" s="9"/>
    </row>
    <row r="731">
      <c r="G731" s="9"/>
    </row>
    <row r="732">
      <c r="G732" s="9"/>
    </row>
    <row r="733">
      <c r="G733" s="9"/>
    </row>
    <row r="734">
      <c r="G734" s="9"/>
    </row>
    <row r="735">
      <c r="G735" s="9"/>
    </row>
    <row r="736">
      <c r="G736" s="9"/>
    </row>
    <row r="737">
      <c r="G737" s="9"/>
    </row>
    <row r="738">
      <c r="G738" s="9"/>
    </row>
    <row r="739">
      <c r="G739" s="9"/>
    </row>
    <row r="740">
      <c r="G740" s="9"/>
    </row>
    <row r="741">
      <c r="G741" s="9"/>
    </row>
    <row r="742">
      <c r="G742" s="9"/>
    </row>
    <row r="743">
      <c r="G743" s="9"/>
    </row>
    <row r="744">
      <c r="G744" s="9"/>
    </row>
    <row r="745">
      <c r="G745" s="9"/>
    </row>
    <row r="746">
      <c r="G746" s="9"/>
    </row>
    <row r="747">
      <c r="G747" s="9"/>
    </row>
    <row r="748">
      <c r="G748" s="9"/>
    </row>
    <row r="749">
      <c r="G749" s="9"/>
    </row>
    <row r="750">
      <c r="G750" s="9"/>
    </row>
    <row r="751">
      <c r="G751" s="9"/>
    </row>
    <row r="752">
      <c r="G752" s="9"/>
    </row>
    <row r="753">
      <c r="G753" s="9"/>
    </row>
    <row r="754">
      <c r="G754" s="9"/>
    </row>
    <row r="755">
      <c r="G755" s="9"/>
    </row>
    <row r="756">
      <c r="G756" s="9"/>
    </row>
    <row r="757">
      <c r="G757" s="9"/>
    </row>
    <row r="758">
      <c r="G758" s="9"/>
    </row>
    <row r="759">
      <c r="G759" s="9"/>
    </row>
    <row r="760">
      <c r="G760" s="9"/>
    </row>
    <row r="761">
      <c r="G761" s="9"/>
    </row>
    <row r="762">
      <c r="G762" s="9"/>
    </row>
    <row r="763">
      <c r="G763" s="9"/>
    </row>
    <row r="764">
      <c r="G764" s="9"/>
    </row>
    <row r="765">
      <c r="G765" s="9"/>
    </row>
    <row r="766">
      <c r="G766" s="9"/>
    </row>
    <row r="767">
      <c r="G767" s="9"/>
    </row>
    <row r="768">
      <c r="G768" s="9"/>
    </row>
    <row r="769">
      <c r="G769" s="9"/>
    </row>
    <row r="770">
      <c r="G770" s="9"/>
    </row>
    <row r="771">
      <c r="G771" s="9"/>
    </row>
    <row r="772">
      <c r="G772" s="9"/>
    </row>
    <row r="773">
      <c r="G773" s="9"/>
    </row>
    <row r="774">
      <c r="G774" s="9"/>
    </row>
    <row r="775">
      <c r="G775" s="9"/>
    </row>
    <row r="776">
      <c r="G776" s="9"/>
    </row>
    <row r="777">
      <c r="G777" s="9"/>
    </row>
    <row r="778">
      <c r="G778" s="9"/>
    </row>
    <row r="779">
      <c r="G779" s="9"/>
    </row>
    <row r="780">
      <c r="G780" s="9"/>
    </row>
    <row r="781">
      <c r="G781" s="9"/>
    </row>
    <row r="782">
      <c r="G782" s="9"/>
    </row>
    <row r="783">
      <c r="G783" s="9"/>
    </row>
    <row r="784">
      <c r="G784" s="9"/>
    </row>
    <row r="785">
      <c r="G785" s="9"/>
    </row>
    <row r="786">
      <c r="G786" s="9"/>
    </row>
    <row r="787">
      <c r="G787" s="9"/>
    </row>
    <row r="788">
      <c r="G788" s="9"/>
    </row>
    <row r="789">
      <c r="G789" s="9"/>
    </row>
    <row r="790">
      <c r="G790" s="9"/>
    </row>
    <row r="791">
      <c r="G791" s="9"/>
    </row>
    <row r="792">
      <c r="G792" s="9"/>
    </row>
    <row r="793">
      <c r="G793" s="9"/>
    </row>
    <row r="794">
      <c r="G794" s="9"/>
    </row>
    <row r="795">
      <c r="G795" s="9"/>
    </row>
    <row r="796">
      <c r="G796" s="9"/>
    </row>
    <row r="797">
      <c r="G797" s="9"/>
    </row>
    <row r="798">
      <c r="G798" s="9"/>
    </row>
    <row r="799">
      <c r="G799" s="9"/>
    </row>
    <row r="800">
      <c r="G800" s="9"/>
    </row>
    <row r="801">
      <c r="G801" s="9"/>
    </row>
    <row r="802">
      <c r="G802" s="9"/>
    </row>
    <row r="803">
      <c r="G803" s="9"/>
    </row>
    <row r="804">
      <c r="G804" s="9"/>
    </row>
    <row r="805">
      <c r="G805" s="9"/>
    </row>
    <row r="806">
      <c r="G806" s="9"/>
    </row>
    <row r="807">
      <c r="G807" s="9"/>
    </row>
    <row r="808">
      <c r="G808" s="9"/>
    </row>
    <row r="809">
      <c r="G809" s="9"/>
    </row>
    <row r="810">
      <c r="G810" s="9"/>
    </row>
    <row r="811">
      <c r="G811" s="9"/>
    </row>
    <row r="812">
      <c r="G812" s="9"/>
    </row>
    <row r="813">
      <c r="G813" s="9"/>
    </row>
    <row r="814">
      <c r="G814" s="9"/>
    </row>
    <row r="815">
      <c r="G815" s="9"/>
    </row>
    <row r="816">
      <c r="G816" s="9"/>
    </row>
    <row r="817">
      <c r="G817" s="9"/>
    </row>
    <row r="818">
      <c r="G818" s="9"/>
    </row>
    <row r="819">
      <c r="G819" s="9"/>
    </row>
    <row r="820">
      <c r="G820" s="9"/>
    </row>
    <row r="821">
      <c r="G821" s="9"/>
    </row>
    <row r="822">
      <c r="G822" s="9"/>
    </row>
    <row r="823">
      <c r="G823" s="9"/>
    </row>
    <row r="824">
      <c r="G824" s="9"/>
    </row>
    <row r="825">
      <c r="G825" s="9"/>
    </row>
    <row r="826">
      <c r="G826" s="9"/>
    </row>
    <row r="827">
      <c r="G827" s="9"/>
    </row>
    <row r="828">
      <c r="G828" s="9"/>
    </row>
    <row r="829">
      <c r="G829" s="9"/>
    </row>
    <row r="830">
      <c r="G830" s="9"/>
    </row>
    <row r="831">
      <c r="G831" s="9"/>
    </row>
    <row r="832">
      <c r="G832" s="9"/>
    </row>
    <row r="833">
      <c r="G833" s="9"/>
    </row>
    <row r="834">
      <c r="G834" s="9"/>
    </row>
    <row r="835">
      <c r="G835" s="9"/>
    </row>
    <row r="836">
      <c r="G836" s="9"/>
    </row>
    <row r="837">
      <c r="G837" s="9"/>
    </row>
    <row r="838">
      <c r="G838" s="9"/>
    </row>
    <row r="839">
      <c r="G839" s="9"/>
    </row>
    <row r="840">
      <c r="G840" s="9"/>
    </row>
    <row r="841">
      <c r="G841" s="9"/>
    </row>
    <row r="842">
      <c r="G842" s="9"/>
    </row>
    <row r="843">
      <c r="G843" s="9"/>
    </row>
    <row r="844">
      <c r="G844" s="9"/>
    </row>
    <row r="845">
      <c r="G845" s="9"/>
    </row>
    <row r="846">
      <c r="G846" s="9"/>
    </row>
    <row r="847">
      <c r="G847" s="9"/>
    </row>
    <row r="848">
      <c r="G848" s="9"/>
    </row>
    <row r="849">
      <c r="G849" s="9"/>
    </row>
    <row r="850">
      <c r="G850" s="9"/>
    </row>
    <row r="851">
      <c r="G851" s="9"/>
    </row>
    <row r="852">
      <c r="G852" s="9"/>
    </row>
    <row r="853">
      <c r="G853" s="9"/>
    </row>
    <row r="854">
      <c r="G854" s="9"/>
    </row>
    <row r="855">
      <c r="G855" s="9"/>
    </row>
    <row r="856">
      <c r="G856" s="9"/>
    </row>
    <row r="857">
      <c r="G857" s="9"/>
    </row>
    <row r="858">
      <c r="G858" s="9"/>
    </row>
    <row r="859">
      <c r="G859" s="9"/>
    </row>
    <row r="860">
      <c r="G860" s="9"/>
    </row>
    <row r="861">
      <c r="G861" s="9"/>
    </row>
    <row r="862">
      <c r="G862" s="9"/>
    </row>
    <row r="863">
      <c r="G863" s="9"/>
    </row>
    <row r="864">
      <c r="G864" s="9"/>
    </row>
    <row r="865">
      <c r="G865" s="9"/>
    </row>
    <row r="866">
      <c r="G866" s="9"/>
    </row>
    <row r="867">
      <c r="G867" s="9"/>
    </row>
    <row r="868">
      <c r="G868" s="9"/>
    </row>
    <row r="869">
      <c r="G869" s="9"/>
    </row>
    <row r="870">
      <c r="G870" s="9"/>
    </row>
    <row r="871">
      <c r="G871" s="9"/>
    </row>
    <row r="872">
      <c r="G872" s="9"/>
    </row>
    <row r="873">
      <c r="G873" s="9"/>
    </row>
    <row r="874">
      <c r="G874" s="9"/>
    </row>
    <row r="875">
      <c r="G875" s="9"/>
    </row>
    <row r="876">
      <c r="G876" s="9"/>
    </row>
    <row r="877">
      <c r="G877" s="9"/>
    </row>
    <row r="878">
      <c r="G878" s="9"/>
    </row>
    <row r="879">
      <c r="G879" s="9"/>
    </row>
    <row r="880">
      <c r="G880" s="9"/>
    </row>
    <row r="881">
      <c r="G881" s="9"/>
    </row>
    <row r="882">
      <c r="G882" s="9"/>
    </row>
    <row r="883">
      <c r="G883" s="9"/>
    </row>
    <row r="884">
      <c r="G884" s="9"/>
    </row>
    <row r="885">
      <c r="G885" s="9"/>
    </row>
    <row r="886">
      <c r="G886" s="9"/>
    </row>
    <row r="887">
      <c r="G887" s="9"/>
    </row>
    <row r="888">
      <c r="G888" s="9"/>
    </row>
    <row r="889">
      <c r="G889" s="9"/>
    </row>
    <row r="890">
      <c r="G890" s="9"/>
    </row>
    <row r="891">
      <c r="G891" s="9"/>
    </row>
    <row r="892">
      <c r="G892" s="9"/>
    </row>
    <row r="893">
      <c r="G893" s="9"/>
    </row>
    <row r="894">
      <c r="G894" s="9"/>
    </row>
    <row r="895">
      <c r="G895" s="9"/>
    </row>
    <row r="896">
      <c r="G896" s="9"/>
    </row>
    <row r="897">
      <c r="G897" s="9"/>
    </row>
    <row r="898">
      <c r="G898" s="9"/>
    </row>
    <row r="899">
      <c r="G899" s="9"/>
    </row>
    <row r="900">
      <c r="G900" s="9"/>
    </row>
    <row r="901">
      <c r="G901" s="9"/>
    </row>
    <row r="902">
      <c r="G902" s="9"/>
    </row>
    <row r="903">
      <c r="G903" s="9"/>
    </row>
    <row r="904">
      <c r="G904" s="9"/>
    </row>
    <row r="905">
      <c r="G905" s="9"/>
    </row>
    <row r="906">
      <c r="G906" s="9"/>
    </row>
    <row r="907">
      <c r="G907" s="9"/>
    </row>
    <row r="908">
      <c r="G908" s="9"/>
    </row>
    <row r="909">
      <c r="G909" s="9"/>
    </row>
    <row r="910">
      <c r="G910" s="9"/>
    </row>
    <row r="911">
      <c r="G911" s="9"/>
    </row>
    <row r="912">
      <c r="G912" s="9"/>
    </row>
    <row r="913">
      <c r="G913" s="9"/>
    </row>
    <row r="914">
      <c r="G914" s="9"/>
    </row>
    <row r="915">
      <c r="G915" s="9"/>
    </row>
    <row r="916">
      <c r="G916" s="9"/>
    </row>
    <row r="917">
      <c r="G917" s="9"/>
    </row>
    <row r="918">
      <c r="G918" s="9"/>
    </row>
    <row r="919">
      <c r="G919" s="9"/>
    </row>
    <row r="920">
      <c r="G920" s="9"/>
    </row>
    <row r="921">
      <c r="G921" s="9"/>
    </row>
    <row r="922">
      <c r="G922" s="9"/>
    </row>
    <row r="923">
      <c r="G923" s="9"/>
    </row>
    <row r="924">
      <c r="G924" s="9"/>
    </row>
    <row r="925">
      <c r="G925" s="9"/>
    </row>
    <row r="926">
      <c r="G926" s="9"/>
    </row>
    <row r="927">
      <c r="G927" s="9"/>
    </row>
    <row r="928">
      <c r="G928" s="9"/>
    </row>
    <row r="929">
      <c r="G929" s="9"/>
    </row>
    <row r="930">
      <c r="G930" s="9"/>
    </row>
    <row r="931">
      <c r="G931" s="9"/>
    </row>
    <row r="932">
      <c r="G932" s="9"/>
    </row>
    <row r="933">
      <c r="G933" s="9"/>
    </row>
    <row r="934">
      <c r="G934" s="9"/>
    </row>
    <row r="935">
      <c r="G935" s="9"/>
    </row>
    <row r="936">
      <c r="G936" s="9"/>
    </row>
    <row r="937">
      <c r="G937" s="9"/>
    </row>
    <row r="938">
      <c r="G938" s="9"/>
    </row>
    <row r="939">
      <c r="G939" s="9"/>
    </row>
    <row r="940">
      <c r="G940" s="9"/>
    </row>
    <row r="941">
      <c r="G941" s="9"/>
    </row>
    <row r="942">
      <c r="G942" s="9"/>
    </row>
    <row r="943">
      <c r="G943" s="9"/>
    </row>
    <row r="944">
      <c r="G944" s="9"/>
    </row>
    <row r="945">
      <c r="G945" s="9"/>
    </row>
    <row r="946">
      <c r="G946" s="9"/>
    </row>
    <row r="947">
      <c r="G947" s="9"/>
    </row>
    <row r="948">
      <c r="G948" s="9"/>
    </row>
    <row r="949">
      <c r="G949" s="9"/>
    </row>
    <row r="950">
      <c r="G950" s="9"/>
    </row>
    <row r="951">
      <c r="G951" s="9"/>
    </row>
    <row r="952">
      <c r="G952" s="9"/>
    </row>
    <row r="953">
      <c r="G953" s="9"/>
    </row>
    <row r="954">
      <c r="G954" s="9"/>
    </row>
    <row r="955">
      <c r="G955" s="9"/>
    </row>
    <row r="956">
      <c r="G956" s="9"/>
    </row>
    <row r="957">
      <c r="G957" s="9"/>
    </row>
    <row r="958">
      <c r="G958" s="9"/>
    </row>
    <row r="959">
      <c r="G959" s="9"/>
    </row>
    <row r="960">
      <c r="G960" s="9"/>
    </row>
    <row r="961">
      <c r="G961" s="9"/>
    </row>
    <row r="962">
      <c r="G962" s="9"/>
    </row>
    <row r="963">
      <c r="G963" s="9"/>
    </row>
    <row r="964">
      <c r="G964" s="9"/>
    </row>
    <row r="965">
      <c r="G965" s="9"/>
    </row>
    <row r="966">
      <c r="G966" s="9"/>
    </row>
    <row r="967">
      <c r="G967" s="9"/>
    </row>
    <row r="968">
      <c r="G968" s="9"/>
    </row>
    <row r="969">
      <c r="G969" s="9"/>
    </row>
    <row r="970">
      <c r="G970" s="9"/>
    </row>
    <row r="971">
      <c r="G971" s="9"/>
    </row>
    <row r="972">
      <c r="G972" s="9"/>
    </row>
    <row r="973">
      <c r="G973" s="9"/>
    </row>
    <row r="974">
      <c r="G974" s="9"/>
    </row>
    <row r="975">
      <c r="G975" s="9"/>
    </row>
    <row r="976">
      <c r="G976" s="9"/>
    </row>
    <row r="977">
      <c r="G977" s="9"/>
    </row>
    <row r="978">
      <c r="G978" s="9"/>
    </row>
    <row r="979">
      <c r="G979" s="9"/>
    </row>
    <row r="980">
      <c r="G980" s="9"/>
    </row>
    <row r="981">
      <c r="G981" s="9"/>
    </row>
    <row r="982">
      <c r="G982" s="9"/>
    </row>
    <row r="983">
      <c r="G983" s="9"/>
    </row>
    <row r="984">
      <c r="G984" s="9"/>
    </row>
    <row r="985">
      <c r="G985" s="9"/>
    </row>
    <row r="986">
      <c r="G986" s="9"/>
    </row>
    <row r="987">
      <c r="G987" s="9"/>
    </row>
    <row r="988">
      <c r="G988" s="9"/>
    </row>
    <row r="989">
      <c r="G989" s="9"/>
    </row>
    <row r="990">
      <c r="G990" s="9"/>
    </row>
    <row r="991">
      <c r="G991" s="9"/>
    </row>
    <row r="992">
      <c r="G992" s="9"/>
    </row>
    <row r="993">
      <c r="G993" s="9"/>
    </row>
    <row r="994">
      <c r="G994" s="9"/>
    </row>
    <row r="995">
      <c r="G995" s="9"/>
    </row>
    <row r="996">
      <c r="G996" s="9"/>
    </row>
    <row r="997">
      <c r="G997" s="9"/>
    </row>
    <row r="998">
      <c r="G998" s="9"/>
    </row>
    <row r="999">
      <c r="G999" s="9"/>
    </row>
    <row r="1000">
      <c r="G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22.0"/>
    <col customWidth="1" min="6" max="26" width="8.71"/>
  </cols>
  <sheetData>
    <row r="1">
      <c r="A1" s="1" t="s">
        <v>75</v>
      </c>
      <c r="B1" s="1" t="s">
        <v>36</v>
      </c>
      <c r="C1" s="1" t="s">
        <v>37</v>
      </c>
      <c r="D1" s="1" t="s">
        <v>76</v>
      </c>
      <c r="E1" s="1" t="s">
        <v>4</v>
      </c>
      <c r="G1" s="1" t="s">
        <v>39</v>
      </c>
      <c r="H1" s="1" t="s">
        <v>40</v>
      </c>
    </row>
    <row r="2">
      <c r="A2" s="2" t="s">
        <v>77</v>
      </c>
      <c r="E2" s="2" t="s">
        <v>78</v>
      </c>
      <c r="G2" s="4">
        <f t="shared" ref="G2:H2" si="1">SUM(B2:B202)</f>
        <v>171500</v>
      </c>
      <c r="H2" s="4">
        <f t="shared" si="1"/>
        <v>0</v>
      </c>
    </row>
    <row r="3">
      <c r="A3" s="2" t="s">
        <v>79</v>
      </c>
      <c r="E3" s="2" t="s">
        <v>80</v>
      </c>
    </row>
    <row r="4">
      <c r="A4" s="10" t="s">
        <v>81</v>
      </c>
      <c r="B4" s="11"/>
      <c r="C4" s="11"/>
      <c r="D4" s="11"/>
      <c r="E4" s="11"/>
      <c r="F4" s="11"/>
      <c r="G4" s="11"/>
      <c r="H4" s="11"/>
      <c r="I4" s="11"/>
      <c r="J4" s="11"/>
      <c r="K4" s="11"/>
      <c r="L4" s="11"/>
      <c r="M4" s="11"/>
      <c r="N4" s="11"/>
      <c r="O4" s="11"/>
      <c r="P4" s="11"/>
      <c r="Q4" s="11"/>
      <c r="R4" s="11"/>
      <c r="S4" s="11"/>
      <c r="T4" s="11"/>
      <c r="U4" s="11"/>
      <c r="V4" s="11"/>
      <c r="W4" s="11"/>
      <c r="X4" s="11"/>
      <c r="Y4" s="11"/>
      <c r="Z4" s="11"/>
    </row>
    <row r="5">
      <c r="A5" s="2" t="s">
        <v>82</v>
      </c>
      <c r="B5" s="2">
        <v>20000.0</v>
      </c>
    </row>
    <row r="6">
      <c r="A6" s="2" t="s">
        <v>83</v>
      </c>
      <c r="B6" s="2">
        <v>2000.0</v>
      </c>
    </row>
    <row r="7">
      <c r="A7" s="2" t="s">
        <v>84</v>
      </c>
      <c r="B7" s="2">
        <v>450.0</v>
      </c>
    </row>
    <row r="8">
      <c r="A8" s="2" t="s">
        <v>85</v>
      </c>
      <c r="B8" s="2">
        <v>3000.0</v>
      </c>
    </row>
    <row r="9">
      <c r="A9" s="2" t="s">
        <v>86</v>
      </c>
      <c r="B9" s="2">
        <v>1500.0</v>
      </c>
    </row>
    <row r="10">
      <c r="A10" s="2" t="s">
        <v>87</v>
      </c>
      <c r="B10" s="2">
        <v>1000.0</v>
      </c>
    </row>
    <row r="11">
      <c r="A11" s="10" t="s">
        <v>88</v>
      </c>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2" t="s">
        <v>89</v>
      </c>
      <c r="B12" s="2">
        <v>11000.0</v>
      </c>
    </row>
    <row r="13">
      <c r="A13" s="2" t="s">
        <v>90</v>
      </c>
    </row>
    <row r="15">
      <c r="A15" s="10" t="s">
        <v>91</v>
      </c>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2" t="s">
        <v>92</v>
      </c>
      <c r="B16" s="2">
        <v>1400.0</v>
      </c>
    </row>
    <row r="17">
      <c r="A17" s="2" t="s">
        <v>93</v>
      </c>
      <c r="B17" s="2">
        <v>600.0</v>
      </c>
    </row>
    <row r="18">
      <c r="A18" s="2" t="s">
        <v>94</v>
      </c>
      <c r="B18" s="2">
        <v>1300.0</v>
      </c>
    </row>
    <row r="19">
      <c r="A19" s="2" t="s">
        <v>95</v>
      </c>
      <c r="B19" s="2">
        <v>600.0</v>
      </c>
    </row>
    <row r="20">
      <c r="A20" s="2" t="s">
        <v>96</v>
      </c>
    </row>
    <row r="21">
      <c r="A21" s="2" t="s">
        <v>97</v>
      </c>
      <c r="B21" s="2">
        <v>2600.0</v>
      </c>
    </row>
    <row r="22" ht="15.75" customHeight="1">
      <c r="A22" s="2" t="s">
        <v>98</v>
      </c>
      <c r="B22" s="2">
        <v>1000.0</v>
      </c>
    </row>
    <row r="23" ht="15.75" customHeight="1">
      <c r="A23" s="2" t="s">
        <v>99</v>
      </c>
      <c r="B23" s="2">
        <v>600.0</v>
      </c>
    </row>
    <row r="24" ht="15.75" customHeight="1">
      <c r="A24" s="2" t="s">
        <v>100</v>
      </c>
      <c r="B24" s="2">
        <v>300.0</v>
      </c>
    </row>
    <row r="25" ht="15.75" customHeight="1">
      <c r="A25" s="2" t="s">
        <v>101</v>
      </c>
      <c r="B25" s="2">
        <v>1500.0</v>
      </c>
    </row>
    <row r="26" ht="15.75" customHeight="1">
      <c r="A26" s="2" t="s">
        <v>102</v>
      </c>
    </row>
    <row r="27" ht="15.75" customHeight="1"/>
    <row r="28" ht="15.75" customHeight="1">
      <c r="A28" s="14" t="s">
        <v>103</v>
      </c>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2" t="s">
        <v>104</v>
      </c>
      <c r="B29" s="2">
        <v>9000.0</v>
      </c>
    </row>
    <row r="30" ht="15.75" customHeight="1">
      <c r="A30" s="2" t="s">
        <v>105</v>
      </c>
      <c r="B30" s="2">
        <v>2000.0</v>
      </c>
    </row>
    <row r="31" ht="15.75" customHeight="1">
      <c r="A31" s="2" t="s">
        <v>106</v>
      </c>
      <c r="B31" s="2">
        <v>1500.0</v>
      </c>
    </row>
    <row r="32" ht="15.75" customHeight="1">
      <c r="A32" s="2" t="s">
        <v>107</v>
      </c>
      <c r="B32" s="2">
        <v>2000.0</v>
      </c>
    </row>
    <row r="33" ht="15.75" customHeight="1">
      <c r="A33" s="2" t="s">
        <v>108</v>
      </c>
    </row>
    <row r="34" ht="15.75" customHeight="1">
      <c r="A34" s="2" t="s">
        <v>109</v>
      </c>
      <c r="B34" s="2">
        <v>1000.0</v>
      </c>
    </row>
    <row r="35" ht="15.75" customHeight="1">
      <c r="A35" s="2" t="s">
        <v>110</v>
      </c>
      <c r="B35" s="2">
        <v>3000.0</v>
      </c>
    </row>
    <row r="36" ht="15.75" customHeight="1">
      <c r="A36" s="2" t="s">
        <v>111</v>
      </c>
      <c r="B36" s="2">
        <v>400.0</v>
      </c>
    </row>
    <row r="37" ht="15.75" customHeight="1"/>
    <row r="38" ht="15.75" customHeight="1">
      <c r="A38" s="2" t="s">
        <v>112</v>
      </c>
    </row>
    <row r="39" ht="15.75" customHeight="1">
      <c r="A39" s="2" t="s">
        <v>113</v>
      </c>
      <c r="B39" s="2">
        <v>500.0</v>
      </c>
    </row>
    <row r="40" ht="15.75" customHeight="1"/>
    <row r="41" ht="15.75" customHeight="1">
      <c r="B41" s="13">
        <f>SUM(B2:B39)</f>
        <v>68250</v>
      </c>
    </row>
    <row r="42" ht="15.75" customHeight="1">
      <c r="A42" s="2" t="s">
        <v>114</v>
      </c>
    </row>
    <row r="43" ht="15.75" customHeight="1">
      <c r="A43" s="2" t="s">
        <v>115</v>
      </c>
      <c r="B43" s="2">
        <v>10000.0</v>
      </c>
    </row>
    <row r="44" ht="15.75" customHeight="1">
      <c r="A44" s="2" t="s">
        <v>116</v>
      </c>
      <c r="B44" s="2">
        <v>1200.0</v>
      </c>
    </row>
    <row r="45" ht="15.75" customHeight="1">
      <c r="A45" s="2" t="s">
        <v>117</v>
      </c>
      <c r="B45" s="2">
        <v>3000.0</v>
      </c>
    </row>
    <row r="46" ht="15.75" customHeight="1">
      <c r="A46" s="2" t="s">
        <v>118</v>
      </c>
      <c r="B46" s="2">
        <v>1500.0</v>
      </c>
    </row>
    <row r="47" ht="15.75" customHeight="1">
      <c r="A47" s="2" t="s">
        <v>119</v>
      </c>
      <c r="B47" s="2">
        <v>800.0</v>
      </c>
    </row>
    <row r="48" ht="15.75" customHeight="1">
      <c r="A48" s="2" t="s">
        <v>120</v>
      </c>
      <c r="B48" s="2">
        <v>1000.0</v>
      </c>
    </row>
    <row r="49" ht="15.75" customHeight="1">
      <c r="B49" s="4">
        <f>B44+B43+B45+B46+B47+B48</f>
        <v>17500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86"/>
    <col customWidth="1" min="2" max="2" width="68.71"/>
    <col customWidth="1" min="3" max="3" width="11.57"/>
    <col customWidth="1" min="4" max="4" width="7.14"/>
    <col customWidth="1" min="5" max="5" width="11.57"/>
    <col hidden="1" min="6" max="8" width="14.43"/>
  </cols>
  <sheetData>
    <row r="1">
      <c r="B1" s="2" t="s">
        <v>121</v>
      </c>
      <c r="F1" s="20"/>
    </row>
    <row r="2">
      <c r="F2" s="20"/>
    </row>
    <row r="3">
      <c r="A3" s="21"/>
      <c r="B3" s="22" t="s">
        <v>122</v>
      </c>
      <c r="C3" s="22">
        <v>3600.0</v>
      </c>
      <c r="D3" s="22">
        <v>2.0</v>
      </c>
      <c r="E3" s="21">
        <f t="shared" ref="E3:E13" si="1">C3*D3</f>
        <v>7200</v>
      </c>
      <c r="F3" s="23">
        <v>0.0</v>
      </c>
      <c r="G3" s="21"/>
      <c r="H3" s="22" t="s">
        <v>123</v>
      </c>
      <c r="R3" s="21"/>
      <c r="S3" s="21"/>
      <c r="T3" s="21"/>
      <c r="U3" s="21"/>
      <c r="V3" s="21"/>
      <c r="W3" s="21"/>
      <c r="X3" s="21"/>
      <c r="Y3" s="21"/>
      <c r="Z3" s="21"/>
    </row>
    <row r="4">
      <c r="A4" s="21"/>
      <c r="B4" s="22" t="s">
        <v>124</v>
      </c>
      <c r="C4" s="22">
        <v>2500.0</v>
      </c>
      <c r="D4" s="22">
        <v>1.0</v>
      </c>
      <c r="E4" s="21">
        <f t="shared" si="1"/>
        <v>2500</v>
      </c>
      <c r="F4" s="23">
        <v>0.0</v>
      </c>
      <c r="G4" s="21"/>
      <c r="H4" s="22" t="s">
        <v>123</v>
      </c>
      <c r="R4" s="21"/>
      <c r="S4" s="21"/>
      <c r="T4" s="21"/>
      <c r="U4" s="21"/>
      <c r="V4" s="21"/>
      <c r="W4" s="21"/>
      <c r="X4" s="21"/>
      <c r="Y4" s="21"/>
      <c r="Z4" s="21"/>
    </row>
    <row r="5">
      <c r="A5" s="24"/>
      <c r="B5" s="25" t="s">
        <v>125</v>
      </c>
      <c r="C5" s="25">
        <v>13000.0</v>
      </c>
      <c r="D5" s="25">
        <v>1.0</v>
      </c>
      <c r="E5" s="24">
        <f t="shared" si="1"/>
        <v>13000</v>
      </c>
      <c r="F5" s="25">
        <v>0.0</v>
      </c>
      <c r="G5" s="24"/>
      <c r="H5" s="25" t="s">
        <v>126</v>
      </c>
      <c r="R5" s="24"/>
      <c r="S5" s="24"/>
      <c r="T5" s="24"/>
      <c r="U5" s="24"/>
      <c r="V5" s="24"/>
      <c r="W5" s="24"/>
      <c r="X5" s="24"/>
      <c r="Y5" s="24"/>
      <c r="Z5" s="24"/>
    </row>
    <row r="6">
      <c r="A6" s="26"/>
      <c r="B6" s="27" t="s">
        <v>127</v>
      </c>
      <c r="C6" s="27">
        <v>2000.0</v>
      </c>
      <c r="D6" s="27">
        <v>1.0</v>
      </c>
      <c r="E6" s="26">
        <f t="shared" si="1"/>
        <v>2000</v>
      </c>
      <c r="F6" s="27">
        <v>0.0</v>
      </c>
      <c r="G6" s="28">
        <v>160.0</v>
      </c>
      <c r="H6" s="27" t="s">
        <v>128</v>
      </c>
      <c r="R6" s="26"/>
      <c r="S6" s="26"/>
      <c r="T6" s="26"/>
      <c r="U6" s="26"/>
      <c r="V6" s="26"/>
      <c r="W6" s="26"/>
      <c r="X6" s="26"/>
      <c r="Y6" s="26"/>
      <c r="Z6" s="26"/>
    </row>
    <row r="7">
      <c r="A7" s="29"/>
      <c r="B7" s="30" t="s">
        <v>129</v>
      </c>
      <c r="C7" s="30">
        <v>2600.0</v>
      </c>
      <c r="D7" s="30">
        <v>3.0</v>
      </c>
      <c r="E7" s="29">
        <f t="shared" si="1"/>
        <v>7800</v>
      </c>
      <c r="F7" s="30">
        <v>0.0</v>
      </c>
      <c r="G7" s="29"/>
      <c r="H7" s="30" t="s">
        <v>130</v>
      </c>
      <c r="R7" s="29"/>
      <c r="S7" s="29"/>
      <c r="T7" s="29"/>
      <c r="U7" s="29"/>
      <c r="V7" s="29"/>
      <c r="W7" s="29"/>
      <c r="X7" s="29"/>
      <c r="Y7" s="29"/>
      <c r="Z7" s="29"/>
    </row>
    <row r="8">
      <c r="A8" s="31"/>
      <c r="B8" s="3" t="s">
        <v>131</v>
      </c>
      <c r="C8" s="3">
        <v>500.0</v>
      </c>
      <c r="D8" s="3">
        <v>1.0</v>
      </c>
      <c r="E8" s="31">
        <f t="shared" si="1"/>
        <v>500</v>
      </c>
      <c r="F8" s="31">
        <f t="shared" ref="F8:F9" si="2">C8*D8</f>
        <v>500</v>
      </c>
      <c r="G8" s="32"/>
      <c r="H8" s="3" t="s">
        <v>132</v>
      </c>
      <c r="R8" s="31"/>
      <c r="S8" s="31"/>
      <c r="T8" s="31"/>
      <c r="U8" s="31"/>
      <c r="V8" s="31"/>
      <c r="W8" s="31"/>
      <c r="X8" s="31"/>
      <c r="Y8" s="31"/>
      <c r="Z8" s="31"/>
    </row>
    <row r="9">
      <c r="A9" s="33"/>
      <c r="B9" s="34" t="s">
        <v>133</v>
      </c>
      <c r="C9" s="34">
        <v>1000.0</v>
      </c>
      <c r="D9" s="34">
        <v>1.0</v>
      </c>
      <c r="E9" s="33">
        <f t="shared" si="1"/>
        <v>1000</v>
      </c>
      <c r="F9" s="33">
        <f t="shared" si="2"/>
        <v>1000</v>
      </c>
      <c r="G9" s="35">
        <v>15.0</v>
      </c>
      <c r="H9" s="34" t="s">
        <v>134</v>
      </c>
      <c r="R9" s="33"/>
      <c r="S9" s="33"/>
      <c r="T9" s="33"/>
      <c r="U9" s="33"/>
      <c r="V9" s="33"/>
      <c r="W9" s="33"/>
      <c r="X9" s="33"/>
      <c r="Y9" s="33"/>
      <c r="Z9" s="33"/>
    </row>
    <row r="10">
      <c r="A10" s="24"/>
      <c r="B10" s="25" t="s">
        <v>135</v>
      </c>
      <c r="C10" s="25">
        <v>3500.0</v>
      </c>
      <c r="D10" s="25">
        <v>1.0</v>
      </c>
      <c r="E10" s="24">
        <f t="shared" si="1"/>
        <v>3500</v>
      </c>
      <c r="F10" s="25">
        <v>0.0</v>
      </c>
      <c r="G10" s="24"/>
      <c r="H10" s="25" t="s">
        <v>126</v>
      </c>
      <c r="R10" s="24"/>
      <c r="S10" s="24"/>
      <c r="T10" s="24"/>
      <c r="U10" s="24"/>
      <c r="V10" s="24"/>
      <c r="W10" s="24"/>
      <c r="X10" s="24"/>
      <c r="Y10" s="24"/>
      <c r="Z10" s="24"/>
    </row>
    <row r="11">
      <c r="A11" s="31"/>
      <c r="B11" s="3" t="s">
        <v>136</v>
      </c>
      <c r="C11" s="3">
        <v>200.0</v>
      </c>
      <c r="D11" s="3">
        <v>1.0</v>
      </c>
      <c r="E11" s="31">
        <f t="shared" si="1"/>
        <v>200</v>
      </c>
      <c r="F11" s="31">
        <f t="shared" ref="F11:F17" si="3">C11*D11</f>
        <v>200</v>
      </c>
      <c r="G11" s="31"/>
      <c r="H11" s="3" t="s">
        <v>132</v>
      </c>
      <c r="R11" s="31"/>
      <c r="S11" s="31"/>
      <c r="T11" s="31"/>
      <c r="U11" s="31"/>
      <c r="V11" s="31"/>
      <c r="W11" s="31"/>
      <c r="X11" s="31"/>
      <c r="Y11" s="31"/>
      <c r="Z11" s="31"/>
    </row>
    <row r="12">
      <c r="A12" s="33"/>
      <c r="B12" s="34" t="s">
        <v>137</v>
      </c>
      <c r="C12" s="34">
        <f>2000+8000+2800</f>
        <v>12800</v>
      </c>
      <c r="D12" s="34">
        <v>1.0</v>
      </c>
      <c r="E12" s="33">
        <f t="shared" si="1"/>
        <v>12800</v>
      </c>
      <c r="F12" s="33">
        <f t="shared" si="3"/>
        <v>12800</v>
      </c>
      <c r="G12" s="33"/>
      <c r="H12" s="34" t="s">
        <v>138</v>
      </c>
      <c r="R12" s="33"/>
      <c r="S12" s="33"/>
      <c r="T12" s="33"/>
      <c r="U12" s="33"/>
      <c r="V12" s="33"/>
      <c r="W12" s="33"/>
      <c r="X12" s="33"/>
      <c r="Y12" s="33"/>
      <c r="Z12" s="33"/>
    </row>
    <row r="13">
      <c r="A13" s="33"/>
      <c r="B13" s="34" t="s">
        <v>139</v>
      </c>
      <c r="C13" s="34">
        <v>49000.0</v>
      </c>
      <c r="D13" s="34">
        <v>1.0</v>
      </c>
      <c r="E13" s="33">
        <f t="shared" si="1"/>
        <v>49000</v>
      </c>
      <c r="F13" s="33">
        <f t="shared" si="3"/>
        <v>49000</v>
      </c>
      <c r="G13" s="33"/>
      <c r="H13" s="34" t="s">
        <v>138</v>
      </c>
      <c r="R13" s="33"/>
      <c r="S13" s="33"/>
      <c r="T13" s="33"/>
      <c r="U13" s="33"/>
      <c r="V13" s="33"/>
      <c r="W13" s="33"/>
      <c r="X13" s="33"/>
      <c r="Y13" s="33"/>
      <c r="Z13" s="33"/>
    </row>
    <row r="14">
      <c r="E14" s="36">
        <f>SUM(E3:E13)</f>
        <v>99500</v>
      </c>
      <c r="F14" s="20">
        <f t="shared" si="3"/>
        <v>0</v>
      </c>
    </row>
    <row r="15">
      <c r="E15" s="4">
        <f t="shared" ref="E15:E30" si="4">C15*D15</f>
        <v>0</v>
      </c>
      <c r="F15" s="20">
        <f t="shared" si="3"/>
        <v>0</v>
      </c>
    </row>
    <row r="16">
      <c r="B16" s="2" t="s">
        <v>140</v>
      </c>
      <c r="E16" s="4">
        <f t="shared" si="4"/>
        <v>0</v>
      </c>
      <c r="F16" s="20">
        <f t="shared" si="3"/>
        <v>0</v>
      </c>
    </row>
    <row r="17">
      <c r="E17" s="4">
        <f t="shared" si="4"/>
        <v>0</v>
      </c>
      <c r="F17" s="20">
        <f t="shared" si="3"/>
        <v>0</v>
      </c>
    </row>
    <row r="18">
      <c r="A18" s="37"/>
      <c r="B18" s="38" t="s">
        <v>141</v>
      </c>
      <c r="C18" s="37">
        <f>2600+750</f>
        <v>3350</v>
      </c>
      <c r="D18" s="38">
        <v>2.0</v>
      </c>
      <c r="E18" s="37">
        <f t="shared" si="4"/>
        <v>6700</v>
      </c>
      <c r="F18" s="38">
        <v>0.0</v>
      </c>
      <c r="G18" s="37"/>
      <c r="H18" s="38" t="s">
        <v>142</v>
      </c>
      <c r="R18" s="37"/>
      <c r="S18" s="37"/>
      <c r="T18" s="37"/>
      <c r="U18" s="37"/>
      <c r="V18" s="37"/>
      <c r="W18" s="37"/>
      <c r="X18" s="37"/>
      <c r="Y18" s="37"/>
      <c r="Z18" s="37"/>
    </row>
    <row r="19">
      <c r="A19" s="39"/>
      <c r="B19" s="40" t="s">
        <v>143</v>
      </c>
      <c r="C19" s="40">
        <v>1000.0</v>
      </c>
      <c r="D19" s="40">
        <v>2.0</v>
      </c>
      <c r="E19" s="39">
        <f t="shared" si="4"/>
        <v>2000</v>
      </c>
      <c r="F19" s="40">
        <v>0.0</v>
      </c>
      <c r="G19" s="39"/>
      <c r="H19" s="40" t="s">
        <v>144</v>
      </c>
      <c r="R19" s="39"/>
      <c r="S19" s="39"/>
      <c r="T19" s="39"/>
      <c r="U19" s="39"/>
      <c r="V19" s="39"/>
      <c r="W19" s="39"/>
      <c r="X19" s="39"/>
      <c r="Y19" s="39"/>
      <c r="Z19" s="39"/>
    </row>
    <row r="20">
      <c r="A20" s="24"/>
      <c r="B20" s="25" t="s">
        <v>145</v>
      </c>
      <c r="C20" s="25">
        <v>3000.0</v>
      </c>
      <c r="D20" s="25">
        <v>1.0</v>
      </c>
      <c r="E20" s="24">
        <f t="shared" si="4"/>
        <v>3000</v>
      </c>
      <c r="F20" s="25">
        <v>0.0</v>
      </c>
      <c r="G20" s="24"/>
      <c r="H20" s="25" t="s">
        <v>126</v>
      </c>
      <c r="R20" s="24"/>
      <c r="S20" s="24"/>
      <c r="T20" s="24"/>
      <c r="U20" s="24"/>
      <c r="V20" s="24"/>
      <c r="W20" s="24"/>
      <c r="X20" s="24"/>
      <c r="Y20" s="24"/>
      <c r="Z20" s="24"/>
    </row>
    <row r="21">
      <c r="A21" s="24"/>
      <c r="B21" s="25" t="s">
        <v>146</v>
      </c>
      <c r="C21" s="25">
        <v>4000.0</v>
      </c>
      <c r="D21" s="25">
        <v>1.0</v>
      </c>
      <c r="E21" s="24">
        <f t="shared" si="4"/>
        <v>4000</v>
      </c>
      <c r="F21" s="25">
        <v>0.0</v>
      </c>
      <c r="G21" s="24"/>
      <c r="H21" s="25" t="s">
        <v>126</v>
      </c>
      <c r="R21" s="24"/>
      <c r="S21" s="24"/>
      <c r="T21" s="24"/>
      <c r="U21" s="24"/>
      <c r="V21" s="24"/>
      <c r="W21" s="24"/>
      <c r="X21" s="24"/>
      <c r="Y21" s="24"/>
      <c r="Z21" s="24"/>
    </row>
    <row r="22">
      <c r="A22" s="21"/>
      <c r="B22" s="22" t="s">
        <v>147</v>
      </c>
      <c r="C22" s="22">
        <v>3600.0</v>
      </c>
      <c r="D22" s="22">
        <v>1.0</v>
      </c>
      <c r="E22" s="21">
        <f t="shared" si="4"/>
        <v>3600</v>
      </c>
      <c r="F22" s="23">
        <v>0.0</v>
      </c>
      <c r="G22" s="21"/>
      <c r="H22" s="22" t="s">
        <v>123</v>
      </c>
      <c r="R22" s="21"/>
      <c r="S22" s="21"/>
      <c r="T22" s="21"/>
      <c r="U22" s="21"/>
      <c r="V22" s="21"/>
      <c r="W22" s="21"/>
      <c r="X22" s="21"/>
      <c r="Y22" s="21"/>
      <c r="Z22" s="21"/>
    </row>
    <row r="23">
      <c r="A23" s="21"/>
      <c r="B23" s="22" t="s">
        <v>148</v>
      </c>
      <c r="C23" s="22">
        <v>2500.0</v>
      </c>
      <c r="D23" s="22">
        <v>1.0</v>
      </c>
      <c r="E23" s="21">
        <f t="shared" si="4"/>
        <v>2500</v>
      </c>
      <c r="F23" s="23">
        <v>0.0</v>
      </c>
      <c r="G23" s="21"/>
      <c r="H23" s="22" t="s">
        <v>123</v>
      </c>
      <c r="R23" s="21"/>
      <c r="S23" s="21"/>
      <c r="T23" s="21"/>
      <c r="U23" s="21"/>
      <c r="V23" s="21"/>
      <c r="W23" s="21"/>
      <c r="X23" s="21"/>
      <c r="Y23" s="21"/>
      <c r="Z23" s="21"/>
    </row>
    <row r="24">
      <c r="A24" s="31"/>
      <c r="B24" s="3" t="s">
        <v>149</v>
      </c>
      <c r="C24" s="3">
        <v>750.0</v>
      </c>
      <c r="D24" s="3">
        <v>1.0</v>
      </c>
      <c r="E24" s="31">
        <f t="shared" si="4"/>
        <v>750</v>
      </c>
      <c r="F24" s="3">
        <v>0.0</v>
      </c>
      <c r="G24" s="31"/>
      <c r="H24" s="3" t="s">
        <v>132</v>
      </c>
      <c r="R24" s="31"/>
      <c r="S24" s="31"/>
      <c r="T24" s="31"/>
      <c r="U24" s="31"/>
      <c r="V24" s="31"/>
      <c r="W24" s="31"/>
      <c r="X24" s="31"/>
      <c r="Y24" s="31"/>
      <c r="Z24" s="31"/>
    </row>
    <row r="25">
      <c r="A25" s="31"/>
      <c r="B25" s="3" t="s">
        <v>150</v>
      </c>
      <c r="C25" s="3">
        <v>200.0</v>
      </c>
      <c r="D25" s="3">
        <v>1.0</v>
      </c>
      <c r="E25" s="31">
        <f t="shared" si="4"/>
        <v>200</v>
      </c>
      <c r="F25" s="3">
        <v>0.0</v>
      </c>
      <c r="G25" s="31"/>
      <c r="H25" s="3" t="s">
        <v>132</v>
      </c>
      <c r="R25" s="31"/>
      <c r="S25" s="31"/>
      <c r="T25" s="31"/>
      <c r="U25" s="31"/>
      <c r="V25" s="31"/>
      <c r="W25" s="31"/>
      <c r="X25" s="31"/>
      <c r="Y25" s="31"/>
      <c r="Z25" s="31"/>
    </row>
    <row r="26">
      <c r="A26" s="31"/>
      <c r="B26" s="3" t="s">
        <v>151</v>
      </c>
      <c r="C26" s="3">
        <v>900.0</v>
      </c>
      <c r="D26" s="3">
        <v>1.0</v>
      </c>
      <c r="E26" s="31">
        <f t="shared" si="4"/>
        <v>900</v>
      </c>
      <c r="F26" s="3">
        <v>0.0</v>
      </c>
      <c r="G26" s="31"/>
      <c r="H26" s="3" t="s">
        <v>132</v>
      </c>
      <c r="R26" s="31"/>
      <c r="S26" s="31"/>
      <c r="T26" s="31"/>
      <c r="U26" s="31"/>
      <c r="V26" s="31"/>
      <c r="W26" s="31"/>
      <c r="X26" s="31"/>
      <c r="Y26" s="31"/>
      <c r="Z26" s="31"/>
    </row>
    <row r="27">
      <c r="A27" s="31"/>
      <c r="B27" s="3" t="s">
        <v>152</v>
      </c>
      <c r="C27" s="3">
        <v>500.0</v>
      </c>
      <c r="D27" s="3">
        <v>1.0</v>
      </c>
      <c r="E27" s="31">
        <f t="shared" si="4"/>
        <v>500</v>
      </c>
      <c r="F27" s="3">
        <v>0.0</v>
      </c>
      <c r="G27" s="31"/>
      <c r="H27" s="3" t="s">
        <v>132</v>
      </c>
      <c r="R27" s="31"/>
      <c r="S27" s="31"/>
      <c r="T27" s="31"/>
      <c r="U27" s="31"/>
      <c r="V27" s="31"/>
      <c r="W27" s="31"/>
      <c r="X27" s="31"/>
      <c r="Y27" s="31"/>
      <c r="Z27" s="31"/>
    </row>
    <row r="28">
      <c r="A28" s="31"/>
      <c r="B28" s="3" t="s">
        <v>153</v>
      </c>
      <c r="C28" s="3">
        <v>800.0</v>
      </c>
      <c r="D28" s="3">
        <v>1.0</v>
      </c>
      <c r="E28" s="31">
        <f t="shared" si="4"/>
        <v>800</v>
      </c>
      <c r="F28" s="3">
        <v>0.0</v>
      </c>
      <c r="G28" s="31"/>
      <c r="H28" s="3" t="s">
        <v>132</v>
      </c>
      <c r="R28" s="31"/>
      <c r="S28" s="31"/>
      <c r="T28" s="31"/>
      <c r="U28" s="31"/>
      <c r="V28" s="31"/>
      <c r="W28" s="31"/>
      <c r="X28" s="31"/>
      <c r="Y28" s="31"/>
      <c r="Z28" s="31"/>
    </row>
    <row r="29">
      <c r="A29" s="31"/>
      <c r="B29" s="3" t="s">
        <v>154</v>
      </c>
      <c r="C29" s="3">
        <v>300.0</v>
      </c>
      <c r="D29" s="3">
        <v>1.0</v>
      </c>
      <c r="E29" s="31">
        <f t="shared" si="4"/>
        <v>300</v>
      </c>
      <c r="F29" s="3">
        <v>0.0</v>
      </c>
      <c r="G29" s="31"/>
      <c r="H29" s="3" t="s">
        <v>132</v>
      </c>
      <c r="R29" s="31"/>
      <c r="S29" s="31"/>
      <c r="T29" s="31"/>
      <c r="U29" s="31"/>
      <c r="V29" s="31"/>
      <c r="W29" s="31"/>
      <c r="X29" s="31"/>
      <c r="Y29" s="31"/>
      <c r="Z29" s="31"/>
    </row>
    <row r="30">
      <c r="A30" s="33"/>
      <c r="B30" s="34" t="s">
        <v>155</v>
      </c>
      <c r="C30" s="34">
        <v>11500.0</v>
      </c>
      <c r="D30" s="34">
        <v>1.0</v>
      </c>
      <c r="E30" s="33">
        <f t="shared" si="4"/>
        <v>11500</v>
      </c>
      <c r="F30" s="33">
        <f>C30*D30</f>
        <v>11500</v>
      </c>
      <c r="G30" s="33"/>
      <c r="H30" s="34" t="s">
        <v>138</v>
      </c>
      <c r="R30" s="33"/>
      <c r="S30" s="33"/>
      <c r="T30" s="33"/>
      <c r="U30" s="33"/>
      <c r="V30" s="33"/>
      <c r="W30" s="33"/>
      <c r="X30" s="33"/>
      <c r="Y30" s="33"/>
      <c r="Z30" s="33"/>
    </row>
    <row r="31">
      <c r="E31" s="36">
        <f>SUM(E18:E30)</f>
        <v>36750</v>
      </c>
      <c r="F31" s="23"/>
    </row>
    <row r="32">
      <c r="E32" s="4">
        <f>C32*D32</f>
        <v>0</v>
      </c>
      <c r="F32" s="20"/>
    </row>
    <row r="33">
      <c r="E33" s="4">
        <f>C33+D33</f>
        <v>0</v>
      </c>
      <c r="F33" s="20"/>
    </row>
    <row r="34">
      <c r="E34" s="41">
        <f>E14+E31</f>
        <v>136250</v>
      </c>
      <c r="F34" s="20">
        <f>sum(F4:F33)</f>
        <v>75000</v>
      </c>
    </row>
    <row r="35">
      <c r="E35" s="4">
        <f>C35+D35</f>
        <v>0</v>
      </c>
      <c r="F35" s="20"/>
    </row>
    <row r="36">
      <c r="E36" s="42">
        <f t="shared" ref="E36:F36" si="5">E34*0.063</f>
        <v>8583.75</v>
      </c>
      <c r="F36" s="42">
        <f t="shared" si="5"/>
        <v>4725</v>
      </c>
    </row>
    <row r="37">
      <c r="F37" s="20"/>
    </row>
    <row r="38">
      <c r="F38" s="20"/>
    </row>
    <row r="39">
      <c r="F39" s="20"/>
    </row>
    <row r="40">
      <c r="F40" s="20"/>
    </row>
    <row r="41">
      <c r="F41" s="20"/>
    </row>
    <row r="42">
      <c r="F42" s="20"/>
    </row>
    <row r="43">
      <c r="F43" s="20"/>
    </row>
    <row r="44">
      <c r="F44" s="20"/>
    </row>
    <row r="45">
      <c r="F45" s="20"/>
    </row>
    <row r="46">
      <c r="F46" s="20"/>
    </row>
    <row r="47">
      <c r="F47" s="20"/>
    </row>
    <row r="48">
      <c r="F48" s="20"/>
    </row>
    <row r="49">
      <c r="F49" s="20"/>
    </row>
    <row r="50">
      <c r="F50" s="20"/>
    </row>
    <row r="51">
      <c r="F51" s="20"/>
    </row>
    <row r="52">
      <c r="F52" s="20"/>
    </row>
    <row r="53">
      <c r="F53" s="20"/>
    </row>
    <row r="54">
      <c r="F54" s="20"/>
    </row>
    <row r="55">
      <c r="F55" s="20"/>
    </row>
    <row r="56">
      <c r="F56" s="20"/>
    </row>
    <row r="57">
      <c r="F57" s="20"/>
    </row>
    <row r="58">
      <c r="F58" s="20"/>
    </row>
    <row r="59">
      <c r="F59" s="20"/>
    </row>
    <row r="60">
      <c r="F60" s="20"/>
    </row>
    <row r="61">
      <c r="F61" s="20"/>
    </row>
    <row r="62">
      <c r="F62" s="20"/>
    </row>
    <row r="63">
      <c r="F63" s="20"/>
    </row>
    <row r="64">
      <c r="F64" s="20"/>
    </row>
    <row r="65">
      <c r="F65" s="20"/>
    </row>
    <row r="66">
      <c r="F66" s="20"/>
    </row>
    <row r="67">
      <c r="F67" s="20"/>
    </row>
    <row r="68">
      <c r="F68" s="20"/>
    </row>
    <row r="69">
      <c r="F69" s="20"/>
    </row>
    <row r="70">
      <c r="F70" s="20"/>
    </row>
    <row r="71">
      <c r="F71" s="20"/>
    </row>
    <row r="72">
      <c r="F72" s="20"/>
    </row>
    <row r="73">
      <c r="F73" s="20"/>
    </row>
    <row r="74">
      <c r="F74" s="20"/>
    </row>
    <row r="75">
      <c r="F75" s="20"/>
    </row>
    <row r="76">
      <c r="F76" s="20"/>
    </row>
    <row r="77">
      <c r="F77" s="20"/>
    </row>
    <row r="78">
      <c r="F78" s="20"/>
    </row>
    <row r="79">
      <c r="F79" s="20"/>
    </row>
    <row r="80">
      <c r="F80" s="20"/>
    </row>
    <row r="81">
      <c r="F81" s="20"/>
    </row>
    <row r="82">
      <c r="F82" s="20"/>
    </row>
    <row r="83">
      <c r="F83" s="20"/>
    </row>
    <row r="84">
      <c r="F84" s="20"/>
    </row>
    <row r="85">
      <c r="F85" s="20"/>
    </row>
    <row r="86">
      <c r="F86" s="20"/>
    </row>
    <row r="87">
      <c r="F87" s="20"/>
    </row>
    <row r="88">
      <c r="F88" s="20"/>
    </row>
    <row r="89">
      <c r="F89" s="20"/>
    </row>
    <row r="90">
      <c r="F90" s="20"/>
    </row>
    <row r="91">
      <c r="F91" s="20"/>
    </row>
    <row r="92">
      <c r="F92" s="20"/>
    </row>
    <row r="93">
      <c r="F93" s="20"/>
    </row>
    <row r="94">
      <c r="F94" s="20"/>
    </row>
    <row r="95">
      <c r="F95" s="20"/>
    </row>
    <row r="96">
      <c r="F96" s="20"/>
    </row>
    <row r="97">
      <c r="F97" s="20"/>
    </row>
    <row r="98">
      <c r="F98" s="20"/>
    </row>
    <row r="99">
      <c r="F99" s="20"/>
    </row>
    <row r="100">
      <c r="F100" s="20"/>
    </row>
    <row r="101">
      <c r="F101" s="20"/>
    </row>
    <row r="102">
      <c r="F102" s="20"/>
    </row>
    <row r="103">
      <c r="F103" s="20"/>
    </row>
    <row r="104">
      <c r="F104" s="20"/>
    </row>
    <row r="105">
      <c r="F105" s="20"/>
    </row>
    <row r="106">
      <c r="F106" s="20"/>
    </row>
    <row r="107">
      <c r="F107" s="20"/>
    </row>
    <row r="108">
      <c r="F108" s="20"/>
    </row>
    <row r="109">
      <c r="F109" s="20"/>
    </row>
    <row r="110">
      <c r="F110" s="20"/>
    </row>
    <row r="111">
      <c r="F111" s="20"/>
    </row>
    <row r="112">
      <c r="F112" s="20"/>
    </row>
    <row r="113">
      <c r="F113" s="20"/>
    </row>
    <row r="114">
      <c r="F114" s="20"/>
    </row>
    <row r="115">
      <c r="F115" s="20"/>
    </row>
    <row r="116">
      <c r="F116" s="20"/>
    </row>
    <row r="117">
      <c r="F117" s="20"/>
    </row>
    <row r="118">
      <c r="F118" s="20"/>
    </row>
    <row r="119">
      <c r="F119" s="20"/>
    </row>
    <row r="120">
      <c r="F120" s="20"/>
    </row>
    <row r="121">
      <c r="F121" s="20"/>
    </row>
    <row r="122">
      <c r="F122" s="20"/>
    </row>
    <row r="123">
      <c r="F123" s="20"/>
    </row>
    <row r="124">
      <c r="F124" s="20"/>
    </row>
    <row r="125">
      <c r="F125" s="20"/>
    </row>
    <row r="126">
      <c r="F126" s="20"/>
    </row>
    <row r="127">
      <c r="F127" s="20"/>
    </row>
    <row r="128">
      <c r="F128" s="20"/>
    </row>
    <row r="129">
      <c r="F129" s="20"/>
    </row>
    <row r="130">
      <c r="F130" s="20"/>
    </row>
    <row r="131">
      <c r="F131" s="20"/>
    </row>
    <row r="132">
      <c r="F132" s="20"/>
    </row>
    <row r="133">
      <c r="F133" s="20"/>
    </row>
    <row r="134">
      <c r="F134" s="20"/>
    </row>
    <row r="135">
      <c r="F135" s="20"/>
    </row>
    <row r="136">
      <c r="F136" s="20"/>
    </row>
    <row r="137">
      <c r="F137" s="20"/>
    </row>
    <row r="138">
      <c r="F138" s="20"/>
    </row>
    <row r="139">
      <c r="F139" s="20"/>
    </row>
    <row r="140">
      <c r="F140" s="20"/>
    </row>
    <row r="141">
      <c r="F141" s="20"/>
    </row>
    <row r="142">
      <c r="F142" s="20"/>
    </row>
    <row r="143">
      <c r="F143" s="20"/>
    </row>
    <row r="144">
      <c r="F144" s="20"/>
    </row>
    <row r="145">
      <c r="F145" s="20"/>
    </row>
    <row r="146">
      <c r="F146" s="20"/>
    </row>
    <row r="147">
      <c r="F147" s="20"/>
    </row>
    <row r="148">
      <c r="F148" s="20"/>
    </row>
    <row r="149">
      <c r="F149" s="20"/>
    </row>
    <row r="150">
      <c r="F150" s="20"/>
    </row>
    <row r="151">
      <c r="F151" s="20"/>
    </row>
    <row r="152">
      <c r="F152" s="20"/>
    </row>
    <row r="153">
      <c r="F153" s="20"/>
    </row>
    <row r="154">
      <c r="F154" s="20"/>
    </row>
    <row r="155">
      <c r="F155" s="20"/>
    </row>
    <row r="156">
      <c r="F156" s="20"/>
    </row>
    <row r="157">
      <c r="F157" s="20"/>
    </row>
    <row r="158">
      <c r="F158" s="20"/>
    </row>
    <row r="159">
      <c r="F159" s="20"/>
    </row>
    <row r="160">
      <c r="F160" s="20"/>
    </row>
    <row r="161">
      <c r="F161" s="20"/>
    </row>
    <row r="162">
      <c r="F162" s="20"/>
    </row>
    <row r="163">
      <c r="F163" s="20"/>
    </row>
    <row r="164">
      <c r="F164" s="20"/>
    </row>
    <row r="165">
      <c r="F165" s="20"/>
    </row>
    <row r="166">
      <c r="F166" s="20"/>
    </row>
    <row r="167">
      <c r="F167" s="20"/>
    </row>
    <row r="168">
      <c r="F168" s="20"/>
    </row>
    <row r="169">
      <c r="F169" s="20"/>
    </row>
    <row r="170">
      <c r="F170" s="20"/>
    </row>
    <row r="171">
      <c r="F171" s="20"/>
    </row>
    <row r="172">
      <c r="F172" s="20"/>
    </row>
    <row r="173">
      <c r="F173" s="20"/>
    </row>
    <row r="174">
      <c r="F174" s="20"/>
    </row>
    <row r="175">
      <c r="F175" s="20"/>
    </row>
    <row r="176">
      <c r="F176" s="20"/>
    </row>
    <row r="177">
      <c r="F177" s="20"/>
    </row>
    <row r="178">
      <c r="F178" s="20"/>
    </row>
    <row r="179">
      <c r="F179" s="20"/>
    </row>
    <row r="180">
      <c r="F180" s="20"/>
    </row>
    <row r="181">
      <c r="F181" s="20"/>
    </row>
    <row r="182">
      <c r="F182" s="20"/>
    </row>
    <row r="183">
      <c r="F183" s="20"/>
    </row>
    <row r="184">
      <c r="F184" s="20"/>
    </row>
    <row r="185">
      <c r="F185" s="20"/>
    </row>
    <row r="186">
      <c r="F186" s="20"/>
    </row>
    <row r="187">
      <c r="F187" s="20"/>
    </row>
    <row r="188">
      <c r="F188" s="20"/>
    </row>
    <row r="189">
      <c r="F189" s="20"/>
    </row>
    <row r="190">
      <c r="F190" s="20"/>
    </row>
    <row r="191">
      <c r="F191" s="20"/>
    </row>
    <row r="192">
      <c r="F192" s="20"/>
    </row>
    <row r="193">
      <c r="F193" s="20"/>
    </row>
    <row r="194">
      <c r="F194" s="20"/>
    </row>
    <row r="195">
      <c r="F195" s="20"/>
    </row>
    <row r="196">
      <c r="F196" s="20"/>
    </row>
    <row r="197">
      <c r="F197" s="20"/>
    </row>
    <row r="198">
      <c r="F198" s="20"/>
    </row>
    <row r="199">
      <c r="F199" s="20"/>
    </row>
    <row r="200">
      <c r="F200" s="20"/>
    </row>
    <row r="201">
      <c r="F201" s="20"/>
    </row>
    <row r="202">
      <c r="F202" s="20"/>
    </row>
    <row r="203">
      <c r="F203" s="20"/>
    </row>
    <row r="204">
      <c r="F204" s="20"/>
    </row>
    <row r="205">
      <c r="F205" s="20"/>
    </row>
    <row r="206">
      <c r="F206" s="20"/>
    </row>
    <row r="207">
      <c r="F207" s="20"/>
    </row>
    <row r="208">
      <c r="F208" s="20"/>
    </row>
    <row r="209">
      <c r="F209" s="20"/>
    </row>
    <row r="210">
      <c r="F210" s="20"/>
    </row>
    <row r="211">
      <c r="F211" s="20"/>
    </row>
    <row r="212">
      <c r="F212" s="20"/>
    </row>
    <row r="213">
      <c r="F213" s="20"/>
    </row>
    <row r="214">
      <c r="F214" s="20"/>
    </row>
    <row r="215">
      <c r="F215" s="20"/>
    </row>
    <row r="216">
      <c r="F216" s="20"/>
    </row>
    <row r="217">
      <c r="F217" s="20"/>
    </row>
    <row r="218">
      <c r="F218" s="20"/>
    </row>
    <row r="219">
      <c r="F219" s="20"/>
    </row>
    <row r="220">
      <c r="F220" s="20"/>
    </row>
    <row r="221">
      <c r="F221" s="20"/>
    </row>
    <row r="222">
      <c r="F222" s="20"/>
    </row>
    <row r="223">
      <c r="F223" s="20"/>
    </row>
    <row r="224">
      <c r="F224" s="20"/>
    </row>
    <row r="225">
      <c r="F225" s="20"/>
    </row>
    <row r="226">
      <c r="F226" s="20"/>
    </row>
    <row r="227">
      <c r="F227" s="20"/>
    </row>
    <row r="228">
      <c r="F228" s="20"/>
    </row>
    <row r="229">
      <c r="F229" s="20"/>
    </row>
    <row r="230">
      <c r="F230" s="20"/>
    </row>
    <row r="231">
      <c r="F231" s="20"/>
    </row>
    <row r="232">
      <c r="F232" s="20"/>
    </row>
    <row r="233">
      <c r="F233" s="20"/>
    </row>
    <row r="234">
      <c r="F234" s="20"/>
    </row>
    <row r="235">
      <c r="F235" s="20"/>
    </row>
    <row r="236">
      <c r="F236" s="20"/>
    </row>
    <row r="237">
      <c r="F237" s="20"/>
    </row>
    <row r="238">
      <c r="F238" s="20"/>
    </row>
    <row r="239">
      <c r="F239" s="20"/>
    </row>
    <row r="240">
      <c r="F240" s="20"/>
    </row>
    <row r="241">
      <c r="F241" s="20"/>
    </row>
    <row r="242">
      <c r="F242" s="20"/>
    </row>
    <row r="243">
      <c r="F243" s="20"/>
    </row>
    <row r="244">
      <c r="F244" s="20"/>
    </row>
    <row r="245">
      <c r="F245" s="20"/>
    </row>
    <row r="246">
      <c r="F246" s="20"/>
    </row>
    <row r="247">
      <c r="F247" s="20"/>
    </row>
    <row r="248">
      <c r="F248" s="20"/>
    </row>
    <row r="249">
      <c r="F249" s="20"/>
    </row>
    <row r="250">
      <c r="F250" s="20"/>
    </row>
    <row r="251">
      <c r="F251" s="20"/>
    </row>
    <row r="252">
      <c r="F252" s="20"/>
    </row>
    <row r="253">
      <c r="F253" s="20"/>
    </row>
    <row r="254">
      <c r="F254" s="20"/>
    </row>
    <row r="255">
      <c r="F255" s="20"/>
    </row>
    <row r="256">
      <c r="F256" s="20"/>
    </row>
    <row r="257">
      <c r="F257" s="20"/>
    </row>
    <row r="258">
      <c r="F258" s="20"/>
    </row>
    <row r="259">
      <c r="F259" s="20"/>
    </row>
    <row r="260">
      <c r="F260" s="20"/>
    </row>
    <row r="261">
      <c r="F261" s="20"/>
    </row>
    <row r="262">
      <c r="F262" s="20"/>
    </row>
    <row r="263">
      <c r="F263" s="20"/>
    </row>
    <row r="264">
      <c r="F264" s="20"/>
    </row>
    <row r="265">
      <c r="F265" s="20"/>
    </row>
    <row r="266">
      <c r="F266" s="20"/>
    </row>
    <row r="267">
      <c r="F267" s="20"/>
    </row>
    <row r="268">
      <c r="F268" s="20"/>
    </row>
    <row r="269">
      <c r="F269" s="20"/>
    </row>
    <row r="270">
      <c r="F270" s="20"/>
    </row>
    <row r="271">
      <c r="F271" s="20"/>
    </row>
    <row r="272">
      <c r="F272" s="20"/>
    </row>
    <row r="273">
      <c r="F273" s="20"/>
    </row>
    <row r="274">
      <c r="F274" s="20"/>
    </row>
    <row r="275">
      <c r="F275" s="20"/>
    </row>
    <row r="276">
      <c r="F276" s="20"/>
    </row>
    <row r="277">
      <c r="F277" s="20"/>
    </row>
    <row r="278">
      <c r="F278" s="20"/>
    </row>
    <row r="279">
      <c r="F279" s="20"/>
    </row>
    <row r="280">
      <c r="F280" s="20"/>
    </row>
    <row r="281">
      <c r="F281" s="20"/>
    </row>
    <row r="282">
      <c r="F282" s="20"/>
    </row>
    <row r="283">
      <c r="F283" s="20"/>
    </row>
    <row r="284">
      <c r="F284" s="20"/>
    </row>
    <row r="285">
      <c r="F285" s="20"/>
    </row>
    <row r="286">
      <c r="F286" s="20"/>
    </row>
    <row r="287">
      <c r="F287" s="20"/>
    </row>
    <row r="288">
      <c r="F288" s="20"/>
    </row>
    <row r="289">
      <c r="F289" s="20"/>
    </row>
    <row r="290">
      <c r="F290" s="20"/>
    </row>
    <row r="291">
      <c r="F291" s="20"/>
    </row>
    <row r="292">
      <c r="F292" s="20"/>
    </row>
    <row r="293">
      <c r="F293" s="20"/>
    </row>
    <row r="294">
      <c r="F294" s="20"/>
    </row>
    <row r="295">
      <c r="F295" s="20"/>
    </row>
    <row r="296">
      <c r="F296" s="20"/>
    </row>
    <row r="297">
      <c r="F297" s="20"/>
    </row>
    <row r="298">
      <c r="F298" s="20"/>
    </row>
    <row r="299">
      <c r="F299" s="20"/>
    </row>
    <row r="300">
      <c r="F300" s="20"/>
    </row>
    <row r="301">
      <c r="F301" s="20"/>
    </row>
    <row r="302">
      <c r="F302" s="20"/>
    </row>
    <row r="303">
      <c r="F303" s="20"/>
    </row>
    <row r="304">
      <c r="F304" s="20"/>
    </row>
    <row r="305">
      <c r="F305" s="20"/>
    </row>
    <row r="306">
      <c r="F306" s="20"/>
    </row>
    <row r="307">
      <c r="F307" s="20"/>
    </row>
    <row r="308">
      <c r="F308" s="20"/>
    </row>
    <row r="309">
      <c r="F309" s="20"/>
    </row>
    <row r="310">
      <c r="F310" s="20"/>
    </row>
    <row r="311">
      <c r="F311" s="20"/>
    </row>
    <row r="312">
      <c r="F312" s="20"/>
    </row>
    <row r="313">
      <c r="F313" s="20"/>
    </row>
    <row r="314">
      <c r="F314" s="20"/>
    </row>
    <row r="315">
      <c r="F315" s="20"/>
    </row>
    <row r="316">
      <c r="F316" s="20"/>
    </row>
    <row r="317">
      <c r="F317" s="20"/>
    </row>
    <row r="318">
      <c r="F318" s="20"/>
    </row>
    <row r="319">
      <c r="F319" s="20"/>
    </row>
    <row r="320">
      <c r="F320" s="20"/>
    </row>
    <row r="321">
      <c r="F321" s="20"/>
    </row>
    <row r="322">
      <c r="F322" s="20"/>
    </row>
    <row r="323">
      <c r="F323" s="20"/>
    </row>
    <row r="324">
      <c r="F324" s="20"/>
    </row>
    <row r="325">
      <c r="F325" s="20"/>
    </row>
    <row r="326">
      <c r="F326" s="20"/>
    </row>
    <row r="327">
      <c r="F327" s="20"/>
    </row>
    <row r="328">
      <c r="F328" s="20"/>
    </row>
    <row r="329">
      <c r="F329" s="20"/>
    </row>
    <row r="330">
      <c r="F330" s="20"/>
    </row>
    <row r="331">
      <c r="F331" s="20"/>
    </row>
    <row r="332">
      <c r="F332" s="20"/>
    </row>
    <row r="333">
      <c r="F333" s="20"/>
    </row>
    <row r="334">
      <c r="F334" s="20"/>
    </row>
    <row r="335">
      <c r="F335" s="20"/>
    </row>
    <row r="336">
      <c r="F336" s="20"/>
    </row>
    <row r="337">
      <c r="F337" s="20"/>
    </row>
    <row r="338">
      <c r="F338" s="20"/>
    </row>
    <row r="339">
      <c r="F339" s="20"/>
    </row>
    <row r="340">
      <c r="F340" s="20"/>
    </row>
    <row r="341">
      <c r="F341" s="20"/>
    </row>
    <row r="342">
      <c r="F342" s="20"/>
    </row>
    <row r="343">
      <c r="F343" s="20"/>
    </row>
    <row r="344">
      <c r="F344" s="20"/>
    </row>
    <row r="345">
      <c r="F345" s="20"/>
    </row>
    <row r="346">
      <c r="F346" s="20"/>
    </row>
    <row r="347">
      <c r="F347" s="20"/>
    </row>
    <row r="348">
      <c r="F348" s="20"/>
    </row>
    <row r="349">
      <c r="F349" s="20"/>
    </row>
    <row r="350">
      <c r="F350" s="20"/>
    </row>
    <row r="351">
      <c r="F351" s="20"/>
    </row>
    <row r="352">
      <c r="F352" s="20"/>
    </row>
    <row r="353">
      <c r="F353" s="20"/>
    </row>
    <row r="354">
      <c r="F354" s="20"/>
    </row>
    <row r="355">
      <c r="F355" s="20"/>
    </row>
    <row r="356">
      <c r="F356" s="20"/>
    </row>
    <row r="357">
      <c r="F357" s="20"/>
    </row>
    <row r="358">
      <c r="F358" s="20"/>
    </row>
    <row r="359">
      <c r="F359" s="20"/>
    </row>
    <row r="360">
      <c r="F360" s="20"/>
    </row>
    <row r="361">
      <c r="F361" s="20"/>
    </row>
    <row r="362">
      <c r="F362" s="20"/>
    </row>
    <row r="363">
      <c r="F363" s="20"/>
    </row>
    <row r="364">
      <c r="F364" s="20"/>
    </row>
    <row r="365">
      <c r="F365" s="20"/>
    </row>
    <row r="366">
      <c r="F366" s="20"/>
    </row>
    <row r="367">
      <c r="F367" s="20"/>
    </row>
    <row r="368">
      <c r="F368" s="20"/>
    </row>
    <row r="369">
      <c r="F369" s="20"/>
    </row>
    <row r="370">
      <c r="F370" s="20"/>
    </row>
    <row r="371">
      <c r="F371" s="20"/>
    </row>
    <row r="372">
      <c r="F372" s="20"/>
    </row>
    <row r="373">
      <c r="F373" s="20"/>
    </row>
    <row r="374">
      <c r="F374" s="20"/>
    </row>
    <row r="375">
      <c r="F375" s="20"/>
    </row>
    <row r="376">
      <c r="F376" s="20"/>
    </row>
    <row r="377">
      <c r="F377" s="20"/>
    </row>
    <row r="378">
      <c r="F378" s="20"/>
    </row>
    <row r="379">
      <c r="F379" s="20"/>
    </row>
    <row r="380">
      <c r="F380" s="20"/>
    </row>
    <row r="381">
      <c r="F381" s="20"/>
    </row>
    <row r="382">
      <c r="F382" s="20"/>
    </row>
    <row r="383">
      <c r="F383" s="20"/>
    </row>
    <row r="384">
      <c r="F384" s="20"/>
    </row>
    <row r="385">
      <c r="F385" s="20"/>
    </row>
    <row r="386">
      <c r="F386" s="20"/>
    </row>
    <row r="387">
      <c r="F387" s="20"/>
    </row>
    <row r="388">
      <c r="F388" s="20"/>
    </row>
    <row r="389">
      <c r="F389" s="20"/>
    </row>
    <row r="390">
      <c r="F390" s="20"/>
    </row>
    <row r="391">
      <c r="F391" s="20"/>
    </row>
    <row r="392">
      <c r="F392" s="20"/>
    </row>
    <row r="393">
      <c r="F393" s="20"/>
    </row>
    <row r="394">
      <c r="F394" s="20"/>
    </row>
    <row r="395">
      <c r="F395" s="20"/>
    </row>
    <row r="396">
      <c r="F396" s="20"/>
    </row>
    <row r="397">
      <c r="F397" s="20"/>
    </row>
    <row r="398">
      <c r="F398" s="20"/>
    </row>
    <row r="399">
      <c r="F399" s="20"/>
    </row>
    <row r="400">
      <c r="F400" s="20"/>
    </row>
    <row r="401">
      <c r="F401" s="20"/>
    </row>
    <row r="402">
      <c r="F402" s="20"/>
    </row>
    <row r="403">
      <c r="F403" s="20"/>
    </row>
    <row r="404">
      <c r="F404" s="20"/>
    </row>
    <row r="405">
      <c r="F405" s="20"/>
    </row>
    <row r="406">
      <c r="F406" s="20"/>
    </row>
    <row r="407">
      <c r="F407" s="20"/>
    </row>
    <row r="408">
      <c r="F408" s="20"/>
    </row>
    <row r="409">
      <c r="F409" s="20"/>
    </row>
    <row r="410">
      <c r="F410" s="20"/>
    </row>
    <row r="411">
      <c r="F411" s="20"/>
    </row>
    <row r="412">
      <c r="F412" s="20"/>
    </row>
    <row r="413">
      <c r="F413" s="20"/>
    </row>
    <row r="414">
      <c r="F414" s="20"/>
    </row>
    <row r="415">
      <c r="F415" s="20"/>
    </row>
    <row r="416">
      <c r="F416" s="20"/>
    </row>
    <row r="417">
      <c r="F417" s="20"/>
    </row>
    <row r="418">
      <c r="F418" s="20"/>
    </row>
    <row r="419">
      <c r="F419" s="20"/>
    </row>
    <row r="420">
      <c r="F420" s="20"/>
    </row>
    <row r="421">
      <c r="F421" s="20"/>
    </row>
    <row r="422">
      <c r="F422" s="20"/>
    </row>
    <row r="423">
      <c r="F423" s="20"/>
    </row>
    <row r="424">
      <c r="F424" s="20"/>
    </row>
    <row r="425">
      <c r="F425" s="20"/>
    </row>
    <row r="426">
      <c r="F426" s="20"/>
    </row>
    <row r="427">
      <c r="F427" s="20"/>
    </row>
    <row r="428">
      <c r="F428" s="20"/>
    </row>
    <row r="429">
      <c r="F429" s="20"/>
    </row>
    <row r="430">
      <c r="F430" s="20"/>
    </row>
    <row r="431">
      <c r="F431" s="20"/>
    </row>
    <row r="432">
      <c r="F432" s="20"/>
    </row>
    <row r="433">
      <c r="F433" s="20"/>
    </row>
    <row r="434">
      <c r="F434" s="20"/>
    </row>
    <row r="435">
      <c r="F435" s="20"/>
    </row>
    <row r="436">
      <c r="F436" s="20"/>
    </row>
    <row r="437">
      <c r="F437" s="20"/>
    </row>
    <row r="438">
      <c r="F438" s="20"/>
    </row>
    <row r="439">
      <c r="F439" s="20"/>
    </row>
    <row r="440">
      <c r="F440" s="20"/>
    </row>
    <row r="441">
      <c r="F441" s="20"/>
    </row>
    <row r="442">
      <c r="F442" s="20"/>
    </row>
    <row r="443">
      <c r="F443" s="20"/>
    </row>
    <row r="444">
      <c r="F444" s="20"/>
    </row>
    <row r="445">
      <c r="F445" s="20"/>
    </row>
    <row r="446">
      <c r="F446" s="20"/>
    </row>
    <row r="447">
      <c r="F447" s="20"/>
    </row>
    <row r="448">
      <c r="F448" s="20"/>
    </row>
    <row r="449">
      <c r="F449" s="20"/>
    </row>
    <row r="450">
      <c r="F450" s="20"/>
    </row>
    <row r="451">
      <c r="F451" s="20"/>
    </row>
    <row r="452">
      <c r="F452" s="20"/>
    </row>
    <row r="453">
      <c r="F453" s="20"/>
    </row>
    <row r="454">
      <c r="F454" s="20"/>
    </row>
    <row r="455">
      <c r="F455" s="20"/>
    </row>
    <row r="456">
      <c r="F456" s="20"/>
    </row>
    <row r="457">
      <c r="F457" s="20"/>
    </row>
    <row r="458">
      <c r="F458" s="20"/>
    </row>
    <row r="459">
      <c r="F459" s="20"/>
    </row>
    <row r="460">
      <c r="F460" s="20"/>
    </row>
    <row r="461">
      <c r="F461" s="20"/>
    </row>
    <row r="462">
      <c r="F462" s="20"/>
    </row>
    <row r="463">
      <c r="F463" s="20"/>
    </row>
    <row r="464">
      <c r="F464" s="20"/>
    </row>
    <row r="465">
      <c r="F465" s="20"/>
    </row>
    <row r="466">
      <c r="F466" s="20"/>
    </row>
    <row r="467">
      <c r="F467" s="20"/>
    </row>
    <row r="468">
      <c r="F468" s="20"/>
    </row>
    <row r="469">
      <c r="F469" s="20"/>
    </row>
    <row r="470">
      <c r="F470" s="20"/>
    </row>
    <row r="471">
      <c r="F471" s="20"/>
    </row>
    <row r="472">
      <c r="F472" s="20"/>
    </row>
    <row r="473">
      <c r="F473" s="20"/>
    </row>
    <row r="474">
      <c r="F474" s="20"/>
    </row>
    <row r="475">
      <c r="F475" s="20"/>
    </row>
    <row r="476">
      <c r="F476" s="20"/>
    </row>
    <row r="477">
      <c r="F477" s="20"/>
    </row>
    <row r="478">
      <c r="F478" s="20"/>
    </row>
    <row r="479">
      <c r="F479" s="20"/>
    </row>
    <row r="480">
      <c r="F480" s="20"/>
    </row>
    <row r="481">
      <c r="F481" s="20"/>
    </row>
    <row r="482">
      <c r="F482" s="20"/>
    </row>
    <row r="483">
      <c r="F483" s="20"/>
    </row>
    <row r="484">
      <c r="F484" s="20"/>
    </row>
    <row r="485">
      <c r="F485" s="20"/>
    </row>
    <row r="486">
      <c r="F486" s="20"/>
    </row>
    <row r="487">
      <c r="F487" s="20"/>
    </row>
    <row r="488">
      <c r="F488" s="20"/>
    </row>
    <row r="489">
      <c r="F489" s="20"/>
    </row>
    <row r="490">
      <c r="F490" s="20"/>
    </row>
    <row r="491">
      <c r="F491" s="20"/>
    </row>
    <row r="492">
      <c r="F492" s="20"/>
    </row>
    <row r="493">
      <c r="F493" s="20"/>
    </row>
    <row r="494">
      <c r="F494" s="20"/>
    </row>
    <row r="495">
      <c r="F495" s="20"/>
    </row>
    <row r="496">
      <c r="F496" s="20"/>
    </row>
    <row r="497">
      <c r="F497" s="20"/>
    </row>
    <row r="498">
      <c r="F498" s="20"/>
    </row>
    <row r="499">
      <c r="F499" s="20"/>
    </row>
    <row r="500">
      <c r="F500" s="20"/>
    </row>
    <row r="501">
      <c r="F501" s="20"/>
    </row>
    <row r="502">
      <c r="F502" s="20"/>
    </row>
    <row r="503">
      <c r="F503" s="20"/>
    </row>
    <row r="504">
      <c r="F504" s="20"/>
    </row>
    <row r="505">
      <c r="F505" s="20"/>
    </row>
    <row r="506">
      <c r="F506" s="20"/>
    </row>
    <row r="507">
      <c r="F507" s="20"/>
    </row>
    <row r="508">
      <c r="F508" s="20"/>
    </row>
    <row r="509">
      <c r="F509" s="20"/>
    </row>
    <row r="510">
      <c r="F510" s="20"/>
    </row>
    <row r="511">
      <c r="F511" s="20"/>
    </row>
    <row r="512">
      <c r="F512" s="20"/>
    </row>
    <row r="513">
      <c r="F513" s="20"/>
    </row>
    <row r="514">
      <c r="F514" s="20"/>
    </row>
    <row r="515">
      <c r="F515" s="20"/>
    </row>
    <row r="516">
      <c r="F516" s="20"/>
    </row>
    <row r="517">
      <c r="F517" s="20"/>
    </row>
    <row r="518">
      <c r="F518" s="20"/>
    </row>
    <row r="519">
      <c r="F519" s="20"/>
    </row>
    <row r="520">
      <c r="F520" s="20"/>
    </row>
    <row r="521">
      <c r="F521" s="20"/>
    </row>
    <row r="522">
      <c r="F522" s="20"/>
    </row>
    <row r="523">
      <c r="F523" s="20"/>
    </row>
    <row r="524">
      <c r="F524" s="20"/>
    </row>
    <row r="525">
      <c r="F525" s="20"/>
    </row>
    <row r="526">
      <c r="F526" s="20"/>
    </row>
    <row r="527">
      <c r="F527" s="20"/>
    </row>
    <row r="528">
      <c r="F528" s="20"/>
    </row>
    <row r="529">
      <c r="F529" s="20"/>
    </row>
    <row r="530">
      <c r="F530" s="20"/>
    </row>
    <row r="531">
      <c r="F531" s="20"/>
    </row>
    <row r="532">
      <c r="F532" s="20"/>
    </row>
    <row r="533">
      <c r="F533" s="20"/>
    </row>
    <row r="534">
      <c r="F534" s="20"/>
    </row>
    <row r="535">
      <c r="F535" s="20"/>
    </row>
    <row r="536">
      <c r="F536" s="20"/>
    </row>
    <row r="537">
      <c r="F537" s="20"/>
    </row>
    <row r="538">
      <c r="F538" s="20"/>
    </row>
    <row r="539">
      <c r="F539" s="20"/>
    </row>
    <row r="540">
      <c r="F540" s="20"/>
    </row>
    <row r="541">
      <c r="F541" s="20"/>
    </row>
    <row r="542">
      <c r="F542" s="20"/>
    </row>
    <row r="543">
      <c r="F543" s="20"/>
    </row>
    <row r="544">
      <c r="F544" s="20"/>
    </row>
    <row r="545">
      <c r="F545" s="20"/>
    </row>
    <row r="546">
      <c r="F546" s="20"/>
    </row>
    <row r="547">
      <c r="F547" s="20"/>
    </row>
    <row r="548">
      <c r="F548" s="20"/>
    </row>
    <row r="549">
      <c r="F549" s="20"/>
    </row>
    <row r="550">
      <c r="F550" s="20"/>
    </row>
    <row r="551">
      <c r="F551" s="20"/>
    </row>
    <row r="552">
      <c r="F552" s="20"/>
    </row>
    <row r="553">
      <c r="F553" s="20"/>
    </row>
    <row r="554">
      <c r="F554" s="20"/>
    </row>
    <row r="555">
      <c r="F555" s="20"/>
    </row>
    <row r="556">
      <c r="F556" s="20"/>
    </row>
    <row r="557">
      <c r="F557" s="20"/>
    </row>
    <row r="558">
      <c r="F558" s="20"/>
    </row>
    <row r="559">
      <c r="F559" s="20"/>
    </row>
    <row r="560">
      <c r="F560" s="20"/>
    </row>
    <row r="561">
      <c r="F561" s="20"/>
    </row>
    <row r="562">
      <c r="F562" s="20"/>
    </row>
    <row r="563">
      <c r="F563" s="20"/>
    </row>
    <row r="564">
      <c r="F564" s="20"/>
    </row>
    <row r="565">
      <c r="F565" s="20"/>
    </row>
    <row r="566">
      <c r="F566" s="20"/>
    </row>
    <row r="567">
      <c r="F567" s="20"/>
    </row>
    <row r="568">
      <c r="F568" s="20"/>
    </row>
    <row r="569">
      <c r="F569" s="20"/>
    </row>
    <row r="570">
      <c r="F570" s="20"/>
    </row>
    <row r="571">
      <c r="F571" s="20"/>
    </row>
    <row r="572">
      <c r="F572" s="20"/>
    </row>
    <row r="573">
      <c r="F573" s="20"/>
    </row>
    <row r="574">
      <c r="F574" s="20"/>
    </row>
    <row r="575">
      <c r="F575" s="20"/>
    </row>
    <row r="576">
      <c r="F576" s="20"/>
    </row>
    <row r="577">
      <c r="F577" s="20"/>
    </row>
    <row r="578">
      <c r="F578" s="20"/>
    </row>
    <row r="579">
      <c r="F579" s="20"/>
    </row>
    <row r="580">
      <c r="F580" s="20"/>
    </row>
    <row r="581">
      <c r="F581" s="20"/>
    </row>
    <row r="582">
      <c r="F582" s="20"/>
    </row>
    <row r="583">
      <c r="F583" s="20"/>
    </row>
    <row r="584">
      <c r="F584" s="20"/>
    </row>
    <row r="585">
      <c r="F585" s="20"/>
    </row>
    <row r="586">
      <c r="F586" s="20"/>
    </row>
    <row r="587">
      <c r="F587" s="20"/>
    </row>
    <row r="588">
      <c r="F588" s="20"/>
    </row>
    <row r="589">
      <c r="F589" s="20"/>
    </row>
    <row r="590">
      <c r="F590" s="20"/>
    </row>
    <row r="591">
      <c r="F591" s="20"/>
    </row>
    <row r="592">
      <c r="F592" s="20"/>
    </row>
    <row r="593">
      <c r="F593" s="20"/>
    </row>
    <row r="594">
      <c r="F594" s="20"/>
    </row>
    <row r="595">
      <c r="F595" s="20"/>
    </row>
    <row r="596">
      <c r="F596" s="20"/>
    </row>
    <row r="597">
      <c r="F597" s="20"/>
    </row>
    <row r="598">
      <c r="F598" s="20"/>
    </row>
    <row r="599">
      <c r="F599" s="20"/>
    </row>
    <row r="600">
      <c r="F600" s="20"/>
    </row>
    <row r="601">
      <c r="F601" s="20"/>
    </row>
    <row r="602">
      <c r="F602" s="20"/>
    </row>
    <row r="603">
      <c r="F603" s="20"/>
    </row>
    <row r="604">
      <c r="F604" s="20"/>
    </row>
    <row r="605">
      <c r="F605" s="20"/>
    </row>
    <row r="606">
      <c r="F606" s="20"/>
    </row>
    <row r="607">
      <c r="F607" s="20"/>
    </row>
    <row r="608">
      <c r="F608" s="20"/>
    </row>
    <row r="609">
      <c r="F609" s="20"/>
    </row>
    <row r="610">
      <c r="F610" s="20"/>
    </row>
    <row r="611">
      <c r="F611" s="20"/>
    </row>
    <row r="612">
      <c r="F612" s="20"/>
    </row>
    <row r="613">
      <c r="F613" s="20"/>
    </row>
    <row r="614">
      <c r="F614" s="20"/>
    </row>
    <row r="615">
      <c r="F615" s="20"/>
    </row>
    <row r="616">
      <c r="F616" s="20"/>
    </row>
    <row r="617">
      <c r="F617" s="20"/>
    </row>
    <row r="618">
      <c r="F618" s="20"/>
    </row>
    <row r="619">
      <c r="F619" s="20"/>
    </row>
    <row r="620">
      <c r="F620" s="20"/>
    </row>
    <row r="621">
      <c r="F621" s="20"/>
    </row>
    <row r="622">
      <c r="F622" s="20"/>
    </row>
    <row r="623">
      <c r="F623" s="20"/>
    </row>
    <row r="624">
      <c r="F624" s="20"/>
    </row>
    <row r="625">
      <c r="F625" s="20"/>
    </row>
    <row r="626">
      <c r="F626" s="20"/>
    </row>
    <row r="627">
      <c r="F627" s="20"/>
    </row>
    <row r="628">
      <c r="F628" s="20"/>
    </row>
    <row r="629">
      <c r="F629" s="20"/>
    </row>
    <row r="630">
      <c r="F630" s="20"/>
    </row>
    <row r="631">
      <c r="F631" s="20"/>
    </row>
    <row r="632">
      <c r="F632" s="20"/>
    </row>
    <row r="633">
      <c r="F633" s="20"/>
    </row>
    <row r="634">
      <c r="F634" s="20"/>
    </row>
    <row r="635">
      <c r="F635" s="20"/>
    </row>
    <row r="636">
      <c r="F636" s="20"/>
    </row>
    <row r="637">
      <c r="F637" s="20"/>
    </row>
    <row r="638">
      <c r="F638" s="20"/>
    </row>
    <row r="639">
      <c r="F639" s="20"/>
    </row>
    <row r="640">
      <c r="F640" s="20"/>
    </row>
    <row r="641">
      <c r="F641" s="20"/>
    </row>
    <row r="642">
      <c r="F642" s="20"/>
    </row>
    <row r="643">
      <c r="F643" s="20"/>
    </row>
    <row r="644">
      <c r="F644" s="20"/>
    </row>
    <row r="645">
      <c r="F645" s="20"/>
    </row>
    <row r="646">
      <c r="F646" s="20"/>
    </row>
    <row r="647">
      <c r="F647" s="20"/>
    </row>
    <row r="648">
      <c r="F648" s="20"/>
    </row>
    <row r="649">
      <c r="F649" s="20"/>
    </row>
    <row r="650">
      <c r="F650" s="20"/>
    </row>
    <row r="651">
      <c r="F651" s="20"/>
    </row>
    <row r="652">
      <c r="F652" s="20"/>
    </row>
    <row r="653">
      <c r="F653" s="20"/>
    </row>
    <row r="654">
      <c r="F654" s="20"/>
    </row>
    <row r="655">
      <c r="F655" s="20"/>
    </row>
    <row r="656">
      <c r="F656" s="20"/>
    </row>
    <row r="657">
      <c r="F657" s="20"/>
    </row>
    <row r="658">
      <c r="F658" s="20"/>
    </row>
    <row r="659">
      <c r="F659" s="20"/>
    </row>
    <row r="660">
      <c r="F660" s="20"/>
    </row>
    <row r="661">
      <c r="F661" s="20"/>
    </row>
    <row r="662">
      <c r="F662" s="20"/>
    </row>
    <row r="663">
      <c r="F663" s="20"/>
    </row>
    <row r="664">
      <c r="F664" s="20"/>
    </row>
    <row r="665">
      <c r="F665" s="20"/>
    </row>
    <row r="666">
      <c r="F666" s="20"/>
    </row>
    <row r="667">
      <c r="F667" s="20"/>
    </row>
    <row r="668">
      <c r="F668" s="20"/>
    </row>
    <row r="669">
      <c r="F669" s="20"/>
    </row>
    <row r="670">
      <c r="F670" s="20"/>
    </row>
    <row r="671">
      <c r="F671" s="20"/>
    </row>
    <row r="672">
      <c r="F672" s="20"/>
    </row>
    <row r="673">
      <c r="F673" s="20"/>
    </row>
    <row r="674">
      <c r="F674" s="20"/>
    </row>
    <row r="675">
      <c r="F675" s="20"/>
    </row>
    <row r="676">
      <c r="F676" s="20"/>
    </row>
    <row r="677">
      <c r="F677" s="20"/>
    </row>
    <row r="678">
      <c r="F678" s="20"/>
    </row>
    <row r="679">
      <c r="F679" s="20"/>
    </row>
    <row r="680">
      <c r="F680" s="20"/>
    </row>
    <row r="681">
      <c r="F681" s="20"/>
    </row>
    <row r="682">
      <c r="F682" s="20"/>
    </row>
    <row r="683">
      <c r="F683" s="20"/>
    </row>
    <row r="684">
      <c r="F684" s="20"/>
    </row>
    <row r="685">
      <c r="F685" s="20"/>
    </row>
    <row r="686">
      <c r="F686" s="20"/>
    </row>
    <row r="687">
      <c r="F687" s="20"/>
    </row>
    <row r="688">
      <c r="F688" s="20"/>
    </row>
    <row r="689">
      <c r="F689" s="20"/>
    </row>
    <row r="690">
      <c r="F690" s="20"/>
    </row>
    <row r="691">
      <c r="F691" s="20"/>
    </row>
    <row r="692">
      <c r="F692" s="20"/>
    </row>
    <row r="693">
      <c r="F693" s="20"/>
    </row>
    <row r="694">
      <c r="F694" s="20"/>
    </row>
    <row r="695">
      <c r="F695" s="20"/>
    </row>
    <row r="696">
      <c r="F696" s="20"/>
    </row>
    <row r="697">
      <c r="F697" s="20"/>
    </row>
    <row r="698">
      <c r="F698" s="20"/>
    </row>
    <row r="699">
      <c r="F699" s="20"/>
    </row>
    <row r="700">
      <c r="F700" s="20"/>
    </row>
    <row r="701">
      <c r="F701" s="20"/>
    </row>
    <row r="702">
      <c r="F702" s="20"/>
    </row>
    <row r="703">
      <c r="F703" s="20"/>
    </row>
    <row r="704">
      <c r="F704" s="20"/>
    </row>
    <row r="705">
      <c r="F705" s="20"/>
    </row>
    <row r="706">
      <c r="F706" s="20"/>
    </row>
    <row r="707">
      <c r="F707" s="20"/>
    </row>
    <row r="708">
      <c r="F708" s="20"/>
    </row>
    <row r="709">
      <c r="F709" s="20"/>
    </row>
    <row r="710">
      <c r="F710" s="20"/>
    </row>
    <row r="711">
      <c r="F711" s="20"/>
    </row>
    <row r="712">
      <c r="F712" s="20"/>
    </row>
    <row r="713">
      <c r="F713" s="20"/>
    </row>
    <row r="714">
      <c r="F714" s="20"/>
    </row>
    <row r="715">
      <c r="F715" s="20"/>
    </row>
    <row r="716">
      <c r="F716" s="20"/>
    </row>
    <row r="717">
      <c r="F717" s="20"/>
    </row>
    <row r="718">
      <c r="F718" s="20"/>
    </row>
    <row r="719">
      <c r="F719" s="20"/>
    </row>
    <row r="720">
      <c r="F720" s="20"/>
    </row>
    <row r="721">
      <c r="F721" s="20"/>
    </row>
    <row r="722">
      <c r="F722" s="20"/>
    </row>
    <row r="723">
      <c r="F723" s="20"/>
    </row>
    <row r="724">
      <c r="F724" s="20"/>
    </row>
    <row r="725">
      <c r="F725" s="20"/>
    </row>
    <row r="726">
      <c r="F726" s="20"/>
    </row>
    <row r="727">
      <c r="F727" s="20"/>
    </row>
    <row r="728">
      <c r="F728" s="20"/>
    </row>
    <row r="729">
      <c r="F729" s="20"/>
    </row>
    <row r="730">
      <c r="F730" s="20"/>
    </row>
    <row r="731">
      <c r="F731" s="20"/>
    </row>
    <row r="732">
      <c r="F732" s="20"/>
    </row>
    <row r="733">
      <c r="F733" s="20"/>
    </row>
    <row r="734">
      <c r="F734" s="20"/>
    </row>
    <row r="735">
      <c r="F735" s="20"/>
    </row>
    <row r="736">
      <c r="F736" s="20"/>
    </row>
    <row r="737">
      <c r="F737" s="20"/>
    </row>
    <row r="738">
      <c r="F738" s="20"/>
    </row>
    <row r="739">
      <c r="F739" s="20"/>
    </row>
    <row r="740">
      <c r="F740" s="20"/>
    </row>
    <row r="741">
      <c r="F741" s="20"/>
    </row>
    <row r="742">
      <c r="F742" s="20"/>
    </row>
    <row r="743">
      <c r="F743" s="20"/>
    </row>
    <row r="744">
      <c r="F744" s="20"/>
    </row>
    <row r="745">
      <c r="F745" s="20"/>
    </row>
    <row r="746">
      <c r="F746" s="20"/>
    </row>
    <row r="747">
      <c r="F747" s="20"/>
    </row>
    <row r="748">
      <c r="F748" s="20"/>
    </row>
    <row r="749">
      <c r="F749" s="20"/>
    </row>
    <row r="750">
      <c r="F750" s="20"/>
    </row>
    <row r="751">
      <c r="F751" s="20"/>
    </row>
    <row r="752">
      <c r="F752" s="20"/>
    </row>
    <row r="753">
      <c r="F753" s="20"/>
    </row>
    <row r="754">
      <c r="F754" s="20"/>
    </row>
    <row r="755">
      <c r="F755" s="20"/>
    </row>
    <row r="756">
      <c r="F756" s="20"/>
    </row>
    <row r="757">
      <c r="F757" s="20"/>
    </row>
    <row r="758">
      <c r="F758" s="20"/>
    </row>
    <row r="759">
      <c r="F759" s="20"/>
    </row>
    <row r="760">
      <c r="F760" s="20"/>
    </row>
    <row r="761">
      <c r="F761" s="20"/>
    </row>
    <row r="762">
      <c r="F762" s="20"/>
    </row>
    <row r="763">
      <c r="F763" s="20"/>
    </row>
    <row r="764">
      <c r="F764" s="20"/>
    </row>
    <row r="765">
      <c r="F765" s="20"/>
    </row>
    <row r="766">
      <c r="F766" s="20"/>
    </row>
    <row r="767">
      <c r="F767" s="20"/>
    </row>
    <row r="768">
      <c r="F768" s="20"/>
    </row>
    <row r="769">
      <c r="F769" s="20"/>
    </row>
    <row r="770">
      <c r="F770" s="20"/>
    </row>
    <row r="771">
      <c r="F771" s="20"/>
    </row>
    <row r="772">
      <c r="F772" s="20"/>
    </row>
    <row r="773">
      <c r="F773" s="20"/>
    </row>
    <row r="774">
      <c r="F774" s="20"/>
    </row>
    <row r="775">
      <c r="F775" s="20"/>
    </row>
    <row r="776">
      <c r="F776" s="20"/>
    </row>
    <row r="777">
      <c r="F777" s="20"/>
    </row>
    <row r="778">
      <c r="F778" s="20"/>
    </row>
    <row r="779">
      <c r="F779" s="20"/>
    </row>
    <row r="780">
      <c r="F780" s="20"/>
    </row>
    <row r="781">
      <c r="F781" s="20"/>
    </row>
    <row r="782">
      <c r="F782" s="20"/>
    </row>
    <row r="783">
      <c r="F783" s="20"/>
    </row>
    <row r="784">
      <c r="F784" s="20"/>
    </row>
    <row r="785">
      <c r="F785" s="20"/>
    </row>
    <row r="786">
      <c r="F786" s="20"/>
    </row>
    <row r="787">
      <c r="F787" s="20"/>
    </row>
    <row r="788">
      <c r="F788" s="20"/>
    </row>
    <row r="789">
      <c r="F789" s="20"/>
    </row>
    <row r="790">
      <c r="F790" s="20"/>
    </row>
    <row r="791">
      <c r="F791" s="20"/>
    </row>
    <row r="792">
      <c r="F792" s="20"/>
    </row>
    <row r="793">
      <c r="F793" s="20"/>
    </row>
    <row r="794">
      <c r="F794" s="20"/>
    </row>
    <row r="795">
      <c r="F795" s="20"/>
    </row>
    <row r="796">
      <c r="F796" s="20"/>
    </row>
    <row r="797">
      <c r="F797" s="20"/>
    </row>
    <row r="798">
      <c r="F798" s="20"/>
    </row>
    <row r="799">
      <c r="F799" s="20"/>
    </row>
    <row r="800">
      <c r="F800" s="20"/>
    </row>
    <row r="801">
      <c r="F801" s="20"/>
    </row>
    <row r="802">
      <c r="F802" s="20"/>
    </row>
    <row r="803">
      <c r="F803" s="20"/>
    </row>
    <row r="804">
      <c r="F804" s="20"/>
    </row>
    <row r="805">
      <c r="F805" s="20"/>
    </row>
    <row r="806">
      <c r="F806" s="20"/>
    </row>
    <row r="807">
      <c r="F807" s="20"/>
    </row>
    <row r="808">
      <c r="F808" s="20"/>
    </row>
    <row r="809">
      <c r="F809" s="20"/>
    </row>
    <row r="810">
      <c r="F810" s="20"/>
    </row>
    <row r="811">
      <c r="F811" s="20"/>
    </row>
    <row r="812">
      <c r="F812" s="20"/>
    </row>
    <row r="813">
      <c r="F813" s="20"/>
    </row>
    <row r="814">
      <c r="F814" s="20"/>
    </row>
    <row r="815">
      <c r="F815" s="20"/>
    </row>
    <row r="816">
      <c r="F816" s="20"/>
    </row>
    <row r="817">
      <c r="F817" s="20"/>
    </row>
    <row r="818">
      <c r="F818" s="20"/>
    </row>
    <row r="819">
      <c r="F819" s="20"/>
    </row>
    <row r="820">
      <c r="F820" s="20"/>
    </row>
    <row r="821">
      <c r="F821" s="20"/>
    </row>
    <row r="822">
      <c r="F822" s="20"/>
    </row>
    <row r="823">
      <c r="F823" s="20"/>
    </row>
    <row r="824">
      <c r="F824" s="20"/>
    </row>
    <row r="825">
      <c r="F825" s="20"/>
    </row>
    <row r="826">
      <c r="F826" s="20"/>
    </row>
    <row r="827">
      <c r="F827" s="20"/>
    </row>
    <row r="828">
      <c r="F828" s="20"/>
    </row>
    <row r="829">
      <c r="F829" s="20"/>
    </row>
    <row r="830">
      <c r="F830" s="20"/>
    </row>
    <row r="831">
      <c r="F831" s="20"/>
    </row>
    <row r="832">
      <c r="F832" s="20"/>
    </row>
    <row r="833">
      <c r="F833" s="20"/>
    </row>
    <row r="834">
      <c r="F834" s="20"/>
    </row>
    <row r="835">
      <c r="F835" s="20"/>
    </row>
    <row r="836">
      <c r="F836" s="20"/>
    </row>
    <row r="837">
      <c r="F837" s="20"/>
    </row>
    <row r="838">
      <c r="F838" s="20"/>
    </row>
    <row r="839">
      <c r="F839" s="20"/>
    </row>
    <row r="840">
      <c r="F840" s="20"/>
    </row>
    <row r="841">
      <c r="F841" s="20"/>
    </row>
    <row r="842">
      <c r="F842" s="20"/>
    </row>
    <row r="843">
      <c r="F843" s="20"/>
    </row>
    <row r="844">
      <c r="F844" s="20"/>
    </row>
    <row r="845">
      <c r="F845" s="20"/>
    </row>
    <row r="846">
      <c r="F846" s="20"/>
    </row>
    <row r="847">
      <c r="F847" s="20"/>
    </row>
    <row r="848">
      <c r="F848" s="20"/>
    </row>
    <row r="849">
      <c r="F849" s="20"/>
    </row>
    <row r="850">
      <c r="F850" s="20"/>
    </row>
    <row r="851">
      <c r="F851" s="20"/>
    </row>
    <row r="852">
      <c r="F852" s="20"/>
    </row>
    <row r="853">
      <c r="F853" s="20"/>
    </row>
    <row r="854">
      <c r="F854" s="20"/>
    </row>
    <row r="855">
      <c r="F855" s="20"/>
    </row>
    <row r="856">
      <c r="F856" s="20"/>
    </row>
    <row r="857">
      <c r="F857" s="20"/>
    </row>
    <row r="858">
      <c r="F858" s="20"/>
    </row>
    <row r="859">
      <c r="F859" s="20"/>
    </row>
    <row r="860">
      <c r="F860" s="20"/>
    </row>
    <row r="861">
      <c r="F861" s="20"/>
    </row>
    <row r="862">
      <c r="F862" s="20"/>
    </row>
    <row r="863">
      <c r="F863" s="20"/>
    </row>
    <row r="864">
      <c r="F864" s="20"/>
    </row>
    <row r="865">
      <c r="F865" s="20"/>
    </row>
    <row r="866">
      <c r="F866" s="20"/>
    </row>
    <row r="867">
      <c r="F867" s="20"/>
    </row>
    <row r="868">
      <c r="F868" s="20"/>
    </row>
    <row r="869">
      <c r="F869" s="20"/>
    </row>
    <row r="870">
      <c r="F870" s="20"/>
    </row>
    <row r="871">
      <c r="F871" s="20"/>
    </row>
    <row r="872">
      <c r="F872" s="20"/>
    </row>
    <row r="873">
      <c r="F873" s="20"/>
    </row>
    <row r="874">
      <c r="F874" s="20"/>
    </row>
    <row r="875">
      <c r="F875" s="20"/>
    </row>
    <row r="876">
      <c r="F876" s="20"/>
    </row>
    <row r="877">
      <c r="F877" s="20"/>
    </row>
    <row r="878">
      <c r="F878" s="20"/>
    </row>
    <row r="879">
      <c r="F879" s="20"/>
    </row>
    <row r="880">
      <c r="F880" s="20"/>
    </row>
    <row r="881">
      <c r="F881" s="20"/>
    </row>
    <row r="882">
      <c r="F882" s="20"/>
    </row>
    <row r="883">
      <c r="F883" s="20"/>
    </row>
    <row r="884">
      <c r="F884" s="20"/>
    </row>
    <row r="885">
      <c r="F885" s="20"/>
    </row>
    <row r="886">
      <c r="F886" s="20"/>
    </row>
    <row r="887">
      <c r="F887" s="20"/>
    </row>
    <row r="888">
      <c r="F888" s="20"/>
    </row>
    <row r="889">
      <c r="F889" s="20"/>
    </row>
    <row r="890">
      <c r="F890" s="20"/>
    </row>
    <row r="891">
      <c r="F891" s="20"/>
    </row>
    <row r="892">
      <c r="F892" s="20"/>
    </row>
    <row r="893">
      <c r="F893" s="20"/>
    </row>
    <row r="894">
      <c r="F894" s="20"/>
    </row>
    <row r="895">
      <c r="F895" s="20"/>
    </row>
    <row r="896">
      <c r="F896" s="20"/>
    </row>
    <row r="897">
      <c r="F897" s="20"/>
    </row>
    <row r="898">
      <c r="F898" s="20"/>
    </row>
    <row r="899">
      <c r="F899" s="20"/>
    </row>
    <row r="900">
      <c r="F900" s="20"/>
    </row>
    <row r="901">
      <c r="F901" s="20"/>
    </row>
    <row r="902">
      <c r="F902" s="20"/>
    </row>
    <row r="903">
      <c r="F903" s="20"/>
    </row>
    <row r="904">
      <c r="F904" s="20"/>
    </row>
    <row r="905">
      <c r="F905" s="20"/>
    </row>
    <row r="906">
      <c r="F906" s="20"/>
    </row>
    <row r="907">
      <c r="F907" s="20"/>
    </row>
    <row r="908">
      <c r="F908" s="20"/>
    </row>
    <row r="909">
      <c r="F909" s="20"/>
    </row>
    <row r="910">
      <c r="F910" s="20"/>
    </row>
    <row r="911">
      <c r="F911" s="20"/>
    </row>
    <row r="912">
      <c r="F912" s="20"/>
    </row>
    <row r="913">
      <c r="F913" s="20"/>
    </row>
    <row r="914">
      <c r="F914" s="20"/>
    </row>
    <row r="915">
      <c r="F915" s="20"/>
    </row>
    <row r="916">
      <c r="F916" s="20"/>
    </row>
    <row r="917">
      <c r="F917" s="20"/>
    </row>
    <row r="918">
      <c r="F918" s="20"/>
    </row>
    <row r="919">
      <c r="F919" s="20"/>
    </row>
    <row r="920">
      <c r="F920" s="20"/>
    </row>
    <row r="921">
      <c r="F921" s="20"/>
    </row>
    <row r="922">
      <c r="F922" s="20"/>
    </row>
    <row r="923">
      <c r="F923" s="20"/>
    </row>
    <row r="924">
      <c r="F924" s="20"/>
    </row>
    <row r="925">
      <c r="F925" s="20"/>
    </row>
    <row r="926">
      <c r="F926" s="20"/>
    </row>
    <row r="927">
      <c r="F927" s="20"/>
    </row>
    <row r="928">
      <c r="F928" s="20"/>
    </row>
    <row r="929">
      <c r="F929" s="20"/>
    </row>
    <row r="930">
      <c r="F930" s="20"/>
    </row>
    <row r="931">
      <c r="F931" s="20"/>
    </row>
    <row r="932">
      <c r="F932" s="20"/>
    </row>
    <row r="933">
      <c r="F933" s="20"/>
    </row>
    <row r="934">
      <c r="F934" s="20"/>
    </row>
    <row r="935">
      <c r="F935" s="20"/>
    </row>
    <row r="936">
      <c r="F936" s="20"/>
    </row>
    <row r="937">
      <c r="F937" s="20"/>
    </row>
    <row r="938">
      <c r="F938" s="20"/>
    </row>
    <row r="939">
      <c r="F939" s="20"/>
    </row>
    <row r="940">
      <c r="F940" s="20"/>
    </row>
    <row r="941">
      <c r="F941" s="20"/>
    </row>
    <row r="942">
      <c r="F942" s="20"/>
    </row>
    <row r="943">
      <c r="F943" s="20"/>
    </row>
    <row r="944">
      <c r="F944" s="20"/>
    </row>
    <row r="945">
      <c r="F945" s="20"/>
    </row>
    <row r="946">
      <c r="F946" s="20"/>
    </row>
    <row r="947">
      <c r="F947" s="20"/>
    </row>
    <row r="948">
      <c r="F948" s="20"/>
    </row>
    <row r="949">
      <c r="F949" s="20"/>
    </row>
    <row r="950">
      <c r="F950" s="20"/>
    </row>
    <row r="951">
      <c r="F951" s="20"/>
    </row>
    <row r="952">
      <c r="F952" s="20"/>
    </row>
    <row r="953">
      <c r="F953" s="20"/>
    </row>
    <row r="954">
      <c r="F954" s="20"/>
    </row>
    <row r="955">
      <c r="F955" s="20"/>
    </row>
    <row r="956">
      <c r="F956" s="20"/>
    </row>
    <row r="957">
      <c r="F957" s="20"/>
    </row>
    <row r="958">
      <c r="F958" s="20"/>
    </row>
    <row r="959">
      <c r="F959" s="20"/>
    </row>
    <row r="960">
      <c r="F960" s="20"/>
    </row>
    <row r="961">
      <c r="F961" s="20"/>
    </row>
    <row r="962">
      <c r="F962" s="20"/>
    </row>
    <row r="963">
      <c r="F963" s="20"/>
    </row>
    <row r="964">
      <c r="F964" s="20"/>
    </row>
    <row r="965">
      <c r="F965" s="20"/>
    </row>
    <row r="966">
      <c r="F966" s="20"/>
    </row>
    <row r="967">
      <c r="F967" s="20"/>
    </row>
    <row r="968">
      <c r="F968" s="20"/>
    </row>
    <row r="969">
      <c r="F969" s="20"/>
    </row>
    <row r="970">
      <c r="F970" s="20"/>
    </row>
    <row r="971">
      <c r="F971" s="20"/>
    </row>
    <row r="972">
      <c r="F972" s="20"/>
    </row>
    <row r="973">
      <c r="F973" s="20"/>
    </row>
    <row r="974">
      <c r="F974" s="20"/>
    </row>
    <row r="975">
      <c r="F975" s="20"/>
    </row>
    <row r="976">
      <c r="F976" s="20"/>
    </row>
    <row r="977">
      <c r="F977" s="20"/>
    </row>
    <row r="978">
      <c r="F978" s="20"/>
    </row>
    <row r="979">
      <c r="F979" s="20"/>
    </row>
    <row r="980">
      <c r="F980" s="20"/>
    </row>
    <row r="981">
      <c r="F981" s="20"/>
    </row>
    <row r="982">
      <c r="F982" s="20"/>
    </row>
    <row r="983">
      <c r="F983" s="20"/>
    </row>
    <row r="984">
      <c r="F984" s="20"/>
    </row>
    <row r="985">
      <c r="F985" s="20"/>
    </row>
    <row r="986">
      <c r="F986" s="20"/>
    </row>
    <row r="987">
      <c r="F987" s="20"/>
    </row>
    <row r="988">
      <c r="F988" s="20"/>
    </row>
    <row r="989">
      <c r="F989" s="20"/>
    </row>
    <row r="990">
      <c r="F990" s="20"/>
    </row>
    <row r="991">
      <c r="F991" s="20"/>
    </row>
    <row r="992">
      <c r="F992" s="20"/>
    </row>
    <row r="993">
      <c r="F993" s="20"/>
    </row>
    <row r="994">
      <c r="F994" s="20"/>
    </row>
    <row r="995">
      <c r="F995" s="20"/>
    </row>
    <row r="996">
      <c r="F996" s="20"/>
    </row>
    <row r="997">
      <c r="F997" s="20"/>
    </row>
    <row r="998">
      <c r="F998" s="20"/>
    </row>
    <row r="999">
      <c r="F999" s="20"/>
    </row>
    <row r="1000">
      <c r="F1000" s="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6" width="8.71"/>
  </cols>
  <sheetData>
    <row r="1">
      <c r="A1" s="43" t="s">
        <v>156</v>
      </c>
    </row>
    <row r="3">
      <c r="A3" s="4" t="s">
        <v>157</v>
      </c>
      <c r="B3" s="4">
        <f>'Wedding Expenses'!G2</f>
        <v>167500</v>
      </c>
    </row>
    <row r="4">
      <c r="A4" s="4" t="s">
        <v>158</v>
      </c>
      <c r="B4" s="4">
        <f>'Wedding Expenses'!H2</f>
        <v>0</v>
      </c>
    </row>
    <row r="6">
      <c r="A6" s="4" t="s">
        <v>159</v>
      </c>
      <c r="B6" s="4">
        <f>'Household Expenses'!G2</f>
        <v>171500</v>
      </c>
    </row>
    <row r="7">
      <c r="A7" s="4" t="s">
        <v>160</v>
      </c>
      <c r="B7" s="4">
        <f>'Household Expenses'!H2</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43"/>
  </cols>
  <sheetData>
    <row r="2">
      <c r="A2" s="44" t="s">
        <v>161</v>
      </c>
      <c r="B2" s="11"/>
      <c r="C2" s="11"/>
      <c r="D2" s="11"/>
      <c r="E2" s="11"/>
      <c r="F2" s="11"/>
      <c r="G2" s="11"/>
      <c r="H2" s="11"/>
      <c r="I2" s="11"/>
      <c r="J2" s="11"/>
      <c r="K2" s="11"/>
      <c r="L2" s="11"/>
      <c r="M2" s="11"/>
      <c r="N2" s="11"/>
      <c r="O2" s="11"/>
      <c r="P2" s="11"/>
      <c r="Q2" s="11"/>
      <c r="R2" s="11"/>
      <c r="S2" s="11"/>
      <c r="T2" s="11"/>
      <c r="U2" s="11"/>
      <c r="V2" s="11"/>
      <c r="W2" s="11"/>
      <c r="X2" s="11"/>
      <c r="Y2" s="11"/>
      <c r="Z2" s="11"/>
    </row>
    <row r="3">
      <c r="A3" s="45" t="s">
        <v>162</v>
      </c>
      <c r="B3" s="45" t="s">
        <v>67</v>
      </c>
      <c r="C3" s="45" t="s">
        <v>163</v>
      </c>
      <c r="D3" s="45" t="s">
        <v>164</v>
      </c>
      <c r="E3" s="46"/>
      <c r="F3" s="46"/>
      <c r="G3" s="46"/>
      <c r="H3" s="46"/>
      <c r="I3" s="46"/>
      <c r="J3" s="46"/>
      <c r="K3" s="46"/>
      <c r="L3" s="46"/>
      <c r="M3" s="46"/>
      <c r="N3" s="46"/>
      <c r="O3" s="46"/>
      <c r="P3" s="46"/>
      <c r="Q3" s="46"/>
      <c r="R3" s="46"/>
      <c r="S3" s="46"/>
      <c r="T3" s="46"/>
      <c r="U3" s="46"/>
      <c r="V3" s="46"/>
      <c r="W3" s="46"/>
      <c r="X3" s="46"/>
      <c r="Y3" s="46"/>
      <c r="Z3" s="46"/>
    </row>
    <row r="4">
      <c r="A4" s="2" t="s">
        <v>165</v>
      </c>
      <c r="B4" s="2">
        <v>2.0</v>
      </c>
      <c r="C4" s="2">
        <v>1.0</v>
      </c>
      <c r="D4" s="2" t="s">
        <v>166</v>
      </c>
    </row>
    <row r="5">
      <c r="A5" s="2" t="s">
        <v>167</v>
      </c>
      <c r="B5" s="2">
        <v>4.0</v>
      </c>
      <c r="C5" s="2">
        <v>4.0</v>
      </c>
      <c r="D5" s="2" t="s">
        <v>168</v>
      </c>
    </row>
    <row r="6">
      <c r="A6" s="2" t="s">
        <v>169</v>
      </c>
      <c r="B6" s="2">
        <v>1.0</v>
      </c>
      <c r="C6" s="2">
        <v>1.0</v>
      </c>
      <c r="D6" s="2" t="s">
        <v>166</v>
      </c>
    </row>
    <row r="7">
      <c r="A7" s="2" t="s">
        <v>170</v>
      </c>
      <c r="B7" s="2">
        <v>2.0</v>
      </c>
      <c r="C7" s="2">
        <v>2.0</v>
      </c>
      <c r="D7" s="2" t="s">
        <v>166</v>
      </c>
    </row>
    <row r="8">
      <c r="A8" s="2" t="s">
        <v>171</v>
      </c>
      <c r="B8" s="2">
        <v>3.0</v>
      </c>
      <c r="C8" s="2">
        <v>2.0</v>
      </c>
      <c r="D8" s="2" t="s">
        <v>166</v>
      </c>
    </row>
    <row r="9">
      <c r="A9" s="2" t="s">
        <v>172</v>
      </c>
      <c r="B9" s="2">
        <v>6.0</v>
      </c>
      <c r="C9" s="2">
        <v>6.0</v>
      </c>
      <c r="D9" s="2" t="s">
        <v>166</v>
      </c>
    </row>
    <row r="10">
      <c r="A10" s="2" t="s">
        <v>173</v>
      </c>
      <c r="B10" s="2">
        <v>2.0</v>
      </c>
      <c r="C10" s="2">
        <v>2.0</v>
      </c>
      <c r="D10" s="2" t="s">
        <v>166</v>
      </c>
    </row>
    <row r="11">
      <c r="A11" s="2" t="s">
        <v>174</v>
      </c>
      <c r="B11" s="2">
        <v>2.0</v>
      </c>
      <c r="C11" s="2">
        <v>2.0</v>
      </c>
      <c r="D11" s="2" t="s">
        <v>166</v>
      </c>
    </row>
    <row r="12">
      <c r="A12" s="2" t="s">
        <v>175</v>
      </c>
      <c r="B12" s="2">
        <v>2.0</v>
      </c>
      <c r="C12" s="2">
        <v>2.0</v>
      </c>
      <c r="D12" s="2" t="s">
        <v>166</v>
      </c>
    </row>
    <row r="13">
      <c r="B13" s="47">
        <f t="shared" ref="B13:C13" si="1">sum(B4:B12)</f>
        <v>24</v>
      </c>
      <c r="C13" s="47">
        <f t="shared" si="1"/>
        <v>22</v>
      </c>
    </row>
    <row r="15">
      <c r="A15" s="2" t="s">
        <v>176</v>
      </c>
      <c r="B15" s="2">
        <v>2.0</v>
      </c>
      <c r="C15" s="2">
        <v>2.0</v>
      </c>
    </row>
    <row r="16">
      <c r="A16" s="2" t="s">
        <v>177</v>
      </c>
      <c r="B16" s="2">
        <v>2.0</v>
      </c>
      <c r="C16" s="2">
        <v>1.0</v>
      </c>
    </row>
    <row r="17">
      <c r="A17" s="2" t="s">
        <v>178</v>
      </c>
      <c r="B17" s="2">
        <v>2.0</v>
      </c>
      <c r="C17" s="2">
        <v>2.0</v>
      </c>
    </row>
    <row r="18">
      <c r="A18" s="2" t="s">
        <v>179</v>
      </c>
      <c r="B18" s="2">
        <v>3.0</v>
      </c>
      <c r="C18" s="2">
        <v>3.0</v>
      </c>
    </row>
    <row r="19">
      <c r="A19" s="2" t="s">
        <v>180</v>
      </c>
      <c r="B19" s="2">
        <v>2.0</v>
      </c>
      <c r="C19" s="2">
        <v>2.0</v>
      </c>
    </row>
    <row r="20">
      <c r="A20" s="2" t="s">
        <v>181</v>
      </c>
      <c r="B20" s="2">
        <v>4.0</v>
      </c>
      <c r="C20" s="2">
        <v>2.0</v>
      </c>
    </row>
    <row r="21">
      <c r="A21" s="2" t="s">
        <v>182</v>
      </c>
      <c r="B21" s="2">
        <v>2.0</v>
      </c>
      <c r="C21" s="2">
        <v>1.0</v>
      </c>
    </row>
    <row r="22">
      <c r="A22" s="2" t="s">
        <v>183</v>
      </c>
      <c r="B22" s="2">
        <v>4.0</v>
      </c>
      <c r="C22" s="2">
        <v>1.0</v>
      </c>
    </row>
    <row r="23">
      <c r="B23" s="47">
        <f t="shared" ref="B23:C23" si="2">sum(B14:B22)</f>
        <v>21</v>
      </c>
      <c r="C23" s="47">
        <f t="shared" si="2"/>
        <v>14</v>
      </c>
    </row>
    <row r="24">
      <c r="A24" s="10" t="s">
        <v>184</v>
      </c>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2" t="s">
        <v>185</v>
      </c>
      <c r="B25" s="2">
        <v>1.0</v>
      </c>
      <c r="C25" s="2">
        <v>1.0</v>
      </c>
    </row>
    <row r="26">
      <c r="A26" s="2" t="s">
        <v>186</v>
      </c>
      <c r="B26" s="2">
        <v>2.0</v>
      </c>
      <c r="C26" s="2">
        <v>2.0</v>
      </c>
    </row>
    <row r="27">
      <c r="A27" s="2" t="s">
        <v>187</v>
      </c>
      <c r="B27" s="2">
        <v>2.0</v>
      </c>
      <c r="C27" s="2">
        <v>2.0</v>
      </c>
    </row>
    <row r="28">
      <c r="A28" s="2" t="s">
        <v>188</v>
      </c>
      <c r="B28" s="2">
        <v>2.0</v>
      </c>
      <c r="C28" s="2">
        <v>2.0</v>
      </c>
    </row>
    <row r="29">
      <c r="A29" s="2" t="s">
        <v>189</v>
      </c>
      <c r="B29" s="2">
        <v>1.0</v>
      </c>
      <c r="C29" s="2">
        <v>1.0</v>
      </c>
    </row>
    <row r="30">
      <c r="A30" s="2" t="s">
        <v>190</v>
      </c>
      <c r="B30" s="2">
        <v>1.0</v>
      </c>
      <c r="C30" s="2">
        <v>1.0</v>
      </c>
    </row>
    <row r="31">
      <c r="A31" s="2" t="s">
        <v>191</v>
      </c>
      <c r="B31" s="2">
        <v>1.0</v>
      </c>
      <c r="C31" s="2">
        <v>1.0</v>
      </c>
    </row>
    <row r="32">
      <c r="A32" s="2" t="s">
        <v>192</v>
      </c>
      <c r="B32" s="2">
        <v>2.0</v>
      </c>
      <c r="C32" s="2">
        <v>1.0</v>
      </c>
    </row>
    <row r="33">
      <c r="A33" s="2" t="s">
        <v>193</v>
      </c>
      <c r="B33" s="2">
        <v>2.0</v>
      </c>
      <c r="C33" s="2">
        <v>1.0</v>
      </c>
    </row>
    <row r="34">
      <c r="B34" s="47">
        <f t="shared" ref="B34:C34" si="3">sum(B24:B33)</f>
        <v>14</v>
      </c>
      <c r="C34" s="47">
        <f t="shared" si="3"/>
        <v>12</v>
      </c>
    </row>
    <row r="35">
      <c r="A35" s="10" t="s">
        <v>194</v>
      </c>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2" t="s">
        <v>195</v>
      </c>
      <c r="B36" s="2">
        <v>2.0</v>
      </c>
      <c r="C36" s="2">
        <v>2.0</v>
      </c>
    </row>
    <row r="37">
      <c r="A37" s="2" t="s">
        <v>196</v>
      </c>
      <c r="B37" s="2">
        <v>2.0</v>
      </c>
      <c r="C37" s="2">
        <v>2.0</v>
      </c>
    </row>
    <row r="38">
      <c r="A38" s="2" t="s">
        <v>197</v>
      </c>
      <c r="B38" s="2">
        <v>1.0</v>
      </c>
      <c r="C38" s="2">
        <v>0.0</v>
      </c>
      <c r="D38" s="2" t="s">
        <v>198</v>
      </c>
    </row>
    <row r="39">
      <c r="A39" s="2" t="s">
        <v>199</v>
      </c>
      <c r="B39" s="2">
        <v>2.0</v>
      </c>
      <c r="C39" s="2">
        <v>2.0</v>
      </c>
    </row>
    <row r="40">
      <c r="A40" s="2" t="s">
        <v>200</v>
      </c>
      <c r="B40" s="2">
        <v>3.0</v>
      </c>
      <c r="C40" s="2">
        <v>1.0</v>
      </c>
    </row>
    <row r="41">
      <c r="A41" s="2" t="s">
        <v>201</v>
      </c>
      <c r="B41" s="2">
        <v>2.0</v>
      </c>
      <c r="C41" s="2">
        <v>1.0</v>
      </c>
    </row>
    <row r="42">
      <c r="A42" s="2" t="s">
        <v>202</v>
      </c>
      <c r="B42" s="2">
        <v>2.0</v>
      </c>
      <c r="C42" s="2">
        <v>2.0</v>
      </c>
    </row>
    <row r="43">
      <c r="A43" s="2" t="s">
        <v>203</v>
      </c>
      <c r="B43" s="2">
        <v>1.0</v>
      </c>
      <c r="C43" s="2">
        <v>1.0</v>
      </c>
    </row>
    <row r="44">
      <c r="A44" s="2" t="s">
        <v>204</v>
      </c>
      <c r="B44" s="2">
        <v>1.0</v>
      </c>
      <c r="C44" s="2">
        <v>1.0</v>
      </c>
    </row>
    <row r="45">
      <c r="A45" s="2" t="s">
        <v>205</v>
      </c>
      <c r="B45" s="2">
        <v>2.0</v>
      </c>
      <c r="C45" s="2">
        <v>2.0</v>
      </c>
    </row>
    <row r="46">
      <c r="A46" s="2" t="s">
        <v>206</v>
      </c>
      <c r="B46" s="2">
        <v>2.0</v>
      </c>
      <c r="C46" s="2">
        <v>2.0</v>
      </c>
    </row>
    <row r="47">
      <c r="A47" s="2" t="s">
        <v>207</v>
      </c>
      <c r="B47" s="2">
        <v>2.0</v>
      </c>
      <c r="C47" s="2">
        <v>2.0</v>
      </c>
    </row>
    <row r="48">
      <c r="A48" s="2" t="s">
        <v>208</v>
      </c>
      <c r="B48" s="2">
        <v>2.0</v>
      </c>
      <c r="C48" s="2">
        <v>2.0</v>
      </c>
    </row>
    <row r="49">
      <c r="A49" s="2" t="s">
        <v>209</v>
      </c>
      <c r="B49" s="2">
        <v>1.0</v>
      </c>
      <c r="C49" s="2">
        <v>1.0</v>
      </c>
    </row>
    <row r="50">
      <c r="B50" s="47">
        <f t="shared" ref="B50:C50" si="4">sum(B36:B49)</f>
        <v>25</v>
      </c>
      <c r="C50" s="47">
        <f t="shared" si="4"/>
        <v>21</v>
      </c>
    </row>
    <row r="52">
      <c r="B52" s="48">
        <f t="shared" ref="B52:C52" si="5">B23+B34+B50</f>
        <v>60</v>
      </c>
      <c r="C52" s="4">
        <f t="shared" si="5"/>
        <v>47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71"/>
  </cols>
  <sheetData>
    <row r="1">
      <c r="A1" s="49" t="s">
        <v>210</v>
      </c>
      <c r="B1" s="11"/>
      <c r="C1" s="11"/>
      <c r="D1" s="11"/>
      <c r="E1" s="11"/>
      <c r="F1" s="11"/>
      <c r="G1" s="11"/>
      <c r="H1" s="11"/>
      <c r="I1" s="11"/>
      <c r="J1" s="11"/>
    </row>
    <row r="2">
      <c r="A2" s="50" t="s">
        <v>162</v>
      </c>
      <c r="B2" s="51" t="s">
        <v>211</v>
      </c>
      <c r="C2" s="51" t="s">
        <v>212</v>
      </c>
      <c r="D2" s="51" t="s">
        <v>213</v>
      </c>
    </row>
    <row r="3">
      <c r="A3" s="52" t="s">
        <v>214</v>
      </c>
      <c r="B3" s="2">
        <v>1.0</v>
      </c>
    </row>
    <row r="4">
      <c r="A4" s="2" t="s">
        <v>215</v>
      </c>
      <c r="B4" s="2">
        <v>1.0</v>
      </c>
    </row>
    <row r="5">
      <c r="A5" s="2" t="s">
        <v>216</v>
      </c>
      <c r="B5" s="2">
        <v>2.0</v>
      </c>
    </row>
    <row r="6">
      <c r="A6" s="2" t="s">
        <v>217</v>
      </c>
      <c r="B6" s="2">
        <v>3.0</v>
      </c>
    </row>
    <row r="7">
      <c r="A7" s="2" t="s">
        <v>218</v>
      </c>
      <c r="B7" s="2">
        <v>1.0</v>
      </c>
    </row>
    <row r="8">
      <c r="A8" s="2" t="s">
        <v>219</v>
      </c>
      <c r="B8" s="2">
        <v>1.0</v>
      </c>
    </row>
    <row r="9">
      <c r="A9" s="2" t="s">
        <v>220</v>
      </c>
      <c r="B9" s="2">
        <v>2.0</v>
      </c>
    </row>
    <row r="10">
      <c r="A10" s="2" t="s">
        <v>221</v>
      </c>
      <c r="B10" s="2">
        <v>1.0</v>
      </c>
    </row>
    <row r="11">
      <c r="A11" s="2"/>
      <c r="B11" s="2">
        <v>2.0</v>
      </c>
    </row>
    <row r="12">
      <c r="A12" s="2" t="s">
        <v>222</v>
      </c>
      <c r="B12" s="2">
        <v>1.0</v>
      </c>
    </row>
    <row r="13">
      <c r="A13" s="2" t="s">
        <v>223</v>
      </c>
      <c r="B13" s="2">
        <v>2.0</v>
      </c>
    </row>
    <row r="14">
      <c r="A14" s="2" t="s">
        <v>224</v>
      </c>
      <c r="B14" s="2">
        <v>2.0</v>
      </c>
    </row>
    <row r="15">
      <c r="A15" s="2" t="s">
        <v>225</v>
      </c>
      <c r="B15" s="2">
        <v>2.0</v>
      </c>
    </row>
    <row r="16">
      <c r="A16" s="2" t="s">
        <v>226</v>
      </c>
      <c r="B16" s="2">
        <v>2.0</v>
      </c>
    </row>
    <row r="17">
      <c r="B17" s="48">
        <f>SUM(B3:B16)</f>
        <v>23</v>
      </c>
    </row>
    <row r="18">
      <c r="B18" s="48"/>
    </row>
    <row r="19">
      <c r="A19" s="10" t="s">
        <v>227</v>
      </c>
      <c r="B19" s="11"/>
      <c r="C19" s="11"/>
      <c r="D19" s="11"/>
      <c r="E19" s="11"/>
      <c r="F19" s="11"/>
      <c r="G19" s="11"/>
      <c r="H19" s="11"/>
      <c r="I19" s="11"/>
      <c r="J19" s="11"/>
      <c r="K19" s="11"/>
      <c r="L19" s="11"/>
      <c r="M19" s="11"/>
      <c r="N19" s="20"/>
      <c r="O19" s="20"/>
      <c r="P19" s="20"/>
      <c r="Q19" s="20"/>
      <c r="R19" s="53"/>
      <c r="S19" s="53"/>
    </row>
    <row r="20">
      <c r="A20" s="2" t="s">
        <v>228</v>
      </c>
      <c r="B20" s="2">
        <v>4.0</v>
      </c>
    </row>
    <row r="21">
      <c r="A21" s="2" t="s">
        <v>229</v>
      </c>
      <c r="B21" s="2">
        <v>1.0</v>
      </c>
    </row>
    <row r="22">
      <c r="A22" s="2" t="s">
        <v>230</v>
      </c>
      <c r="B22" s="2">
        <v>3.0</v>
      </c>
    </row>
    <row r="23">
      <c r="A23" s="2" t="s">
        <v>231</v>
      </c>
      <c r="B23" s="2">
        <v>1.0</v>
      </c>
    </row>
    <row r="24">
      <c r="A24" s="2" t="s">
        <v>232</v>
      </c>
      <c r="B24" s="2">
        <v>1.0</v>
      </c>
    </row>
    <row r="25">
      <c r="A25" s="2" t="s">
        <v>233</v>
      </c>
      <c r="B25" s="2">
        <v>2.0</v>
      </c>
    </row>
    <row r="26">
      <c r="A26" s="2" t="s">
        <v>234</v>
      </c>
    </row>
    <row r="27">
      <c r="B27" s="48">
        <f>SUM(B20:B26)</f>
        <v>12</v>
      </c>
    </row>
    <row r="28">
      <c r="A28" s="14" t="s">
        <v>235</v>
      </c>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2" t="s">
        <v>236</v>
      </c>
      <c r="B29" s="2">
        <v>2.0</v>
      </c>
    </row>
    <row r="30">
      <c r="A30" s="2" t="s">
        <v>237</v>
      </c>
      <c r="B30" s="2">
        <v>2.0</v>
      </c>
    </row>
    <row r="31">
      <c r="A31" s="2" t="s">
        <v>238</v>
      </c>
      <c r="B31" s="2">
        <v>2.0</v>
      </c>
    </row>
    <row r="32">
      <c r="A32" s="2" t="s">
        <v>239</v>
      </c>
      <c r="B32" s="2">
        <v>2.0</v>
      </c>
    </row>
    <row r="33">
      <c r="A33" s="2" t="s">
        <v>240</v>
      </c>
      <c r="B33" s="2">
        <v>2.0</v>
      </c>
    </row>
    <row r="34">
      <c r="A34" s="2" t="s">
        <v>241</v>
      </c>
      <c r="B34" s="2">
        <v>2.0</v>
      </c>
    </row>
    <row r="35">
      <c r="A35" s="2" t="s">
        <v>242</v>
      </c>
      <c r="B35" s="2">
        <v>2.0</v>
      </c>
    </row>
    <row r="36">
      <c r="A36" s="2" t="s">
        <v>243</v>
      </c>
      <c r="B36" s="2">
        <v>2.0</v>
      </c>
    </row>
    <row r="37">
      <c r="A37" s="2"/>
      <c r="B37" s="2">
        <v>2.0</v>
      </c>
    </row>
    <row r="38">
      <c r="A38" s="2" t="s">
        <v>244</v>
      </c>
      <c r="B38" s="2">
        <v>2.0</v>
      </c>
    </row>
    <row r="39">
      <c r="A39" s="2" t="s">
        <v>245</v>
      </c>
      <c r="B39" s="2">
        <v>2.0</v>
      </c>
    </row>
    <row r="40">
      <c r="A40" s="2" t="s">
        <v>246</v>
      </c>
      <c r="B40" s="2">
        <v>2.0</v>
      </c>
    </row>
    <row r="41">
      <c r="A41" s="2" t="s">
        <v>247</v>
      </c>
      <c r="B41" s="2">
        <v>2.0</v>
      </c>
    </row>
    <row r="42">
      <c r="A42" s="2" t="s">
        <v>248</v>
      </c>
      <c r="B42" s="2">
        <v>2.0</v>
      </c>
    </row>
    <row r="43">
      <c r="A43" s="2" t="s">
        <v>249</v>
      </c>
      <c r="B43" s="2">
        <v>2.0</v>
      </c>
    </row>
    <row r="44">
      <c r="A44" s="2" t="s">
        <v>250</v>
      </c>
      <c r="B44" s="2">
        <v>2.0</v>
      </c>
    </row>
    <row r="45">
      <c r="A45" s="2" t="s">
        <v>251</v>
      </c>
      <c r="B45" s="2">
        <v>2.0</v>
      </c>
    </row>
    <row r="46">
      <c r="A46" s="2" t="s">
        <v>252</v>
      </c>
      <c r="B46" s="2">
        <v>2.0</v>
      </c>
    </row>
    <row r="47">
      <c r="A47" s="2" t="s">
        <v>253</v>
      </c>
      <c r="B47" s="2">
        <v>2.0</v>
      </c>
    </row>
    <row r="48">
      <c r="A48" s="2" t="s">
        <v>254</v>
      </c>
      <c r="B48" s="2">
        <v>2.0</v>
      </c>
    </row>
    <row r="49">
      <c r="A49" s="2" t="s">
        <v>255</v>
      </c>
      <c r="B49" s="2">
        <v>2.0</v>
      </c>
    </row>
    <row r="50">
      <c r="A50" s="2" t="s">
        <v>256</v>
      </c>
      <c r="B50" s="2">
        <v>1.0</v>
      </c>
    </row>
    <row r="51">
      <c r="A51" s="2" t="s">
        <v>257</v>
      </c>
      <c r="B51" s="2">
        <v>2.0</v>
      </c>
    </row>
    <row r="52">
      <c r="A52" s="2" t="s">
        <v>258</v>
      </c>
      <c r="B52" s="2">
        <v>2.0</v>
      </c>
    </row>
    <row r="53">
      <c r="A53" s="2" t="s">
        <v>259</v>
      </c>
      <c r="B53" s="2">
        <v>1.0</v>
      </c>
    </row>
    <row r="54">
      <c r="A54" s="2" t="s">
        <v>260</v>
      </c>
      <c r="B54" s="2">
        <v>2.0</v>
      </c>
    </row>
    <row r="55">
      <c r="A55" s="2" t="s">
        <v>261</v>
      </c>
      <c r="B55" s="2">
        <v>2.0</v>
      </c>
    </row>
    <row r="56">
      <c r="A56" s="2" t="s">
        <v>262</v>
      </c>
      <c r="B56" s="2">
        <v>2.0</v>
      </c>
    </row>
    <row r="57">
      <c r="A57" s="2" t="s">
        <v>263</v>
      </c>
      <c r="B57" s="2">
        <v>1.0</v>
      </c>
    </row>
    <row r="58">
      <c r="B58" s="2"/>
    </row>
    <row r="59">
      <c r="B59" s="51">
        <f>SUM(B29:B58)</f>
        <v>55</v>
      </c>
    </row>
    <row r="60">
      <c r="B60" s="2"/>
    </row>
    <row r="61">
      <c r="A61" s="10" t="s">
        <v>264</v>
      </c>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2" t="s">
        <v>265</v>
      </c>
      <c r="B62" s="2">
        <v>3.0</v>
      </c>
    </row>
    <row r="63">
      <c r="A63" s="2" t="s">
        <v>266</v>
      </c>
      <c r="B63" s="2">
        <v>3.0</v>
      </c>
    </row>
    <row r="64">
      <c r="A64" s="2" t="s">
        <v>267</v>
      </c>
      <c r="B64" s="2">
        <v>2.0</v>
      </c>
    </row>
    <row r="65">
      <c r="A65" s="2" t="s">
        <v>268</v>
      </c>
      <c r="B65" s="2">
        <v>2.0</v>
      </c>
    </row>
    <row r="66">
      <c r="A66" s="2" t="s">
        <v>269</v>
      </c>
      <c r="B66" s="2">
        <v>3.0</v>
      </c>
    </row>
    <row r="67">
      <c r="A67" s="2" t="s">
        <v>270</v>
      </c>
      <c r="B67" s="2">
        <v>1.0</v>
      </c>
    </row>
    <row r="68">
      <c r="A68" s="2" t="s">
        <v>271</v>
      </c>
      <c r="B68" s="2">
        <v>1.0</v>
      </c>
    </row>
    <row r="69">
      <c r="A69" s="2" t="s">
        <v>272</v>
      </c>
      <c r="B69" s="2">
        <v>1.0</v>
      </c>
    </row>
    <row r="70">
      <c r="A70" s="2" t="s">
        <v>273</v>
      </c>
      <c r="B70" s="2">
        <v>1.0</v>
      </c>
    </row>
    <row r="71">
      <c r="A71" s="2" t="s">
        <v>274</v>
      </c>
      <c r="B71" s="2">
        <v>2.0</v>
      </c>
    </row>
    <row r="72">
      <c r="B72" s="48">
        <f>SUM(B62:B71)</f>
        <v>19</v>
      </c>
    </row>
    <row r="74">
      <c r="A74" s="14" t="s">
        <v>275</v>
      </c>
      <c r="B74" s="11"/>
      <c r="C74" s="11"/>
      <c r="D74" s="11"/>
      <c r="E74" s="11"/>
      <c r="F74" s="11"/>
      <c r="G74" s="11"/>
      <c r="H74" s="11"/>
      <c r="I74" s="11"/>
      <c r="J74" s="11"/>
      <c r="K74" s="11"/>
      <c r="L74" s="11"/>
      <c r="M74" s="11"/>
      <c r="N74" s="11"/>
      <c r="O74" s="11"/>
      <c r="P74" s="11"/>
      <c r="Q74" s="11"/>
      <c r="R74" s="11"/>
    </row>
    <row r="75">
      <c r="A75" s="2" t="s">
        <v>276</v>
      </c>
      <c r="B75" s="2">
        <v>1.0</v>
      </c>
    </row>
    <row r="76">
      <c r="A76" s="2" t="s">
        <v>277</v>
      </c>
      <c r="B76" s="2">
        <v>1.0</v>
      </c>
    </row>
    <row r="77">
      <c r="B77" s="48">
        <f>SUM(B75:B76)</f>
        <v>2</v>
      </c>
    </row>
    <row r="79">
      <c r="A79" s="14" t="s">
        <v>278</v>
      </c>
      <c r="B79" s="11"/>
      <c r="C79" s="11"/>
      <c r="D79" s="11"/>
      <c r="E79" s="11"/>
      <c r="F79" s="11"/>
      <c r="G79" s="11"/>
      <c r="H79" s="11"/>
      <c r="I79" s="11"/>
      <c r="J79" s="11"/>
      <c r="K79" s="11"/>
      <c r="L79" s="11"/>
      <c r="M79" s="11"/>
      <c r="N79" s="11"/>
      <c r="O79" s="11"/>
      <c r="P79" s="11"/>
      <c r="Q79" s="11"/>
      <c r="R79" s="11"/>
    </row>
    <row r="80">
      <c r="A80" s="2" t="s">
        <v>279</v>
      </c>
      <c r="B80" s="2">
        <v>1.0</v>
      </c>
    </row>
    <row r="81">
      <c r="A81" s="2" t="s">
        <v>280</v>
      </c>
      <c r="B81" s="2">
        <v>1.0</v>
      </c>
    </row>
    <row r="82">
      <c r="A82" s="2" t="s">
        <v>281</v>
      </c>
      <c r="B82" s="2">
        <v>1.0</v>
      </c>
    </row>
    <row r="83">
      <c r="A83" s="2" t="s">
        <v>282</v>
      </c>
      <c r="B83" s="2">
        <v>1.0</v>
      </c>
    </row>
    <row r="84">
      <c r="B84" s="48">
        <f>SUM(B80:B83)</f>
        <v>4</v>
      </c>
    </row>
    <row r="86">
      <c r="A86" s="14" t="s">
        <v>283</v>
      </c>
      <c r="B86" s="11"/>
      <c r="C86" s="11"/>
      <c r="D86" s="11"/>
      <c r="E86" s="11"/>
      <c r="F86" s="11"/>
      <c r="G86" s="11"/>
      <c r="H86" s="11"/>
      <c r="I86" s="11"/>
      <c r="J86" s="11"/>
      <c r="K86" s="11"/>
      <c r="L86" s="11"/>
      <c r="M86" s="11"/>
      <c r="N86" s="11"/>
      <c r="O86" s="11"/>
      <c r="P86" s="11"/>
      <c r="Q86" s="11"/>
      <c r="R86" s="11"/>
    </row>
    <row r="87">
      <c r="A87" s="2" t="s">
        <v>282</v>
      </c>
      <c r="B87" s="2">
        <v>1.0</v>
      </c>
    </row>
    <row r="88">
      <c r="A88" s="2" t="s">
        <v>284</v>
      </c>
      <c r="B88" s="2">
        <v>1.0</v>
      </c>
    </row>
    <row r="89">
      <c r="A89" s="2" t="s">
        <v>285</v>
      </c>
      <c r="B89" s="2">
        <v>1.0</v>
      </c>
    </row>
    <row r="90">
      <c r="A90" s="2" t="s">
        <v>286</v>
      </c>
      <c r="B90" s="2">
        <v>1.0</v>
      </c>
    </row>
    <row r="91">
      <c r="A91" s="2" t="s">
        <v>287</v>
      </c>
      <c r="B91" s="2">
        <v>1.0</v>
      </c>
    </row>
    <row r="92">
      <c r="A92" s="2" t="s">
        <v>288</v>
      </c>
      <c r="B92" s="2">
        <v>1.0</v>
      </c>
    </row>
    <row r="93">
      <c r="A93" s="2" t="s">
        <v>289</v>
      </c>
      <c r="B93" s="2">
        <v>1.0</v>
      </c>
    </row>
    <row r="94">
      <c r="A94" s="2" t="s">
        <v>290</v>
      </c>
      <c r="B94" s="2">
        <v>1.0</v>
      </c>
    </row>
    <row r="95">
      <c r="A95" s="2" t="s">
        <v>291</v>
      </c>
      <c r="B95" s="2">
        <v>1.0</v>
      </c>
    </row>
    <row r="96">
      <c r="A96" s="2"/>
      <c r="B96" s="48">
        <f>SUM(B87:B95)</f>
        <v>9</v>
      </c>
    </row>
    <row r="97">
      <c r="A97" s="2"/>
    </row>
    <row r="98">
      <c r="A98" s="14" t="s">
        <v>292</v>
      </c>
      <c r="B98" s="11"/>
      <c r="C98" s="11"/>
      <c r="D98" s="11"/>
      <c r="E98" s="11"/>
      <c r="F98" s="11"/>
      <c r="G98" s="11"/>
      <c r="H98" s="11"/>
      <c r="I98" s="11"/>
      <c r="J98" s="11"/>
      <c r="K98" s="11"/>
      <c r="L98" s="11"/>
      <c r="M98" s="11"/>
    </row>
    <row r="99">
      <c r="A99" s="2" t="s">
        <v>293</v>
      </c>
      <c r="B99" s="2">
        <v>1.0</v>
      </c>
    </row>
    <row r="100">
      <c r="A100" s="2" t="s">
        <v>294</v>
      </c>
      <c r="B100" s="2">
        <v>1.0</v>
      </c>
    </row>
    <row r="101">
      <c r="A101" s="2" t="s">
        <v>295</v>
      </c>
      <c r="B101" s="2">
        <v>1.0</v>
      </c>
    </row>
    <row r="102">
      <c r="A102" s="2" t="s">
        <v>296</v>
      </c>
      <c r="B102" s="2">
        <v>1.0</v>
      </c>
    </row>
    <row r="103">
      <c r="A103" s="2" t="s">
        <v>297</v>
      </c>
      <c r="B103" s="2">
        <v>1.0</v>
      </c>
    </row>
    <row r="104">
      <c r="A104" s="2"/>
      <c r="B104" s="51">
        <f>SUM(B99:B103)</f>
        <v>5</v>
      </c>
    </row>
    <row r="105">
      <c r="A105" s="2"/>
    </row>
    <row r="106" ht="18.75" customHeight="1">
      <c r="A106" s="51" t="s">
        <v>298</v>
      </c>
      <c r="B106" s="54">
        <f>B17+B27+B59+B72+B77+B84+B96+B104+B107</f>
        <v>129</v>
      </c>
    </row>
    <row r="110">
      <c r="B110" s="55">
        <f>B106+'List dinvite MM'!B52</f>
        <v>189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4.43"/>
    <col customWidth="1" hidden="1" min="3" max="3" width="34.43"/>
    <col customWidth="1" min="4" max="4" width="34.43"/>
    <col customWidth="1" min="5" max="5" width="12.71"/>
    <col customWidth="1" min="6" max="6" width="10.57"/>
    <col customWidth="1" min="7" max="7" width="24.71"/>
    <col hidden="1" min="8" max="10" width="14.43"/>
  </cols>
  <sheetData>
    <row r="1">
      <c r="A1" s="56" t="s">
        <v>299</v>
      </c>
      <c r="B1" s="56" t="s">
        <v>300</v>
      </c>
      <c r="C1" s="56" t="s">
        <v>301</v>
      </c>
      <c r="D1" s="56" t="s">
        <v>302</v>
      </c>
      <c r="E1" s="56" t="s">
        <v>303</v>
      </c>
      <c r="F1" s="56" t="s">
        <v>4</v>
      </c>
      <c r="H1" s="57" t="s">
        <v>304</v>
      </c>
      <c r="I1" s="58" t="s">
        <v>305</v>
      </c>
      <c r="J1" s="2" t="s">
        <v>306</v>
      </c>
    </row>
    <row r="2">
      <c r="A2" s="59" t="s">
        <v>307</v>
      </c>
      <c r="B2" s="60">
        <v>45400.0</v>
      </c>
      <c r="C2" s="60" t="s">
        <v>308</v>
      </c>
      <c r="D2" s="59" t="s">
        <v>304</v>
      </c>
      <c r="E2" s="59" t="s">
        <v>309</v>
      </c>
      <c r="F2" s="61"/>
      <c r="G2" s="48"/>
      <c r="H2" s="36">
        <f>B2+B9+B10+B11+B12</f>
        <v>80400</v>
      </c>
      <c r="I2" s="62">
        <f>B3+B5+B6+B13+B14+B16</f>
        <v>115400</v>
      </c>
      <c r="J2" s="4">
        <f>B4+B7+B15</f>
        <v>9000</v>
      </c>
    </row>
    <row r="3">
      <c r="A3" s="59" t="s">
        <v>310</v>
      </c>
      <c r="B3" s="60">
        <v>45400.0</v>
      </c>
      <c r="C3" s="63"/>
      <c r="D3" s="59" t="s">
        <v>305</v>
      </c>
      <c r="E3" s="59"/>
      <c r="F3" s="61"/>
    </row>
    <row r="4">
      <c r="A4" s="59" t="s">
        <v>311</v>
      </c>
      <c r="B4" s="60">
        <v>2000.0</v>
      </c>
      <c r="C4" s="63">
        <v>123.0</v>
      </c>
      <c r="D4" s="59" t="s">
        <v>306</v>
      </c>
      <c r="E4" s="59" t="s">
        <v>309</v>
      </c>
      <c r="F4" s="61"/>
    </row>
    <row r="5">
      <c r="A5" s="59" t="s">
        <v>312</v>
      </c>
      <c r="B5" s="60">
        <v>40000.0</v>
      </c>
      <c r="C5" s="60" t="s">
        <v>313</v>
      </c>
      <c r="D5" s="59" t="s">
        <v>305</v>
      </c>
      <c r="E5" s="59" t="s">
        <v>314</v>
      </c>
      <c r="F5" s="61"/>
    </row>
    <row r="6">
      <c r="A6" s="59" t="s">
        <v>315</v>
      </c>
      <c r="B6" s="60">
        <v>10000.0</v>
      </c>
      <c r="C6" s="63">
        <v>923.0</v>
      </c>
      <c r="D6" s="59" t="s">
        <v>305</v>
      </c>
      <c r="E6" s="59" t="s">
        <v>314</v>
      </c>
      <c r="F6" s="61"/>
    </row>
    <row r="7">
      <c r="A7" s="59" t="s">
        <v>316</v>
      </c>
      <c r="B7" s="60">
        <v>1000.0</v>
      </c>
      <c r="C7" s="63">
        <v>615.0</v>
      </c>
      <c r="D7" s="59" t="s">
        <v>306</v>
      </c>
      <c r="E7" s="59" t="s">
        <v>314</v>
      </c>
      <c r="F7" s="61"/>
    </row>
    <row r="8">
      <c r="A8" s="64" t="s">
        <v>317</v>
      </c>
      <c r="B8" s="65">
        <v>0.0</v>
      </c>
      <c r="C8" s="63">
        <v>492.0</v>
      </c>
      <c r="D8" s="59" t="s">
        <v>318</v>
      </c>
      <c r="E8" s="59" t="s">
        <v>314</v>
      </c>
      <c r="F8" s="61"/>
    </row>
    <row r="9">
      <c r="A9" s="59" t="s">
        <v>319</v>
      </c>
      <c r="B9" s="60">
        <v>5000.0</v>
      </c>
      <c r="C9" s="63">
        <v>308.0</v>
      </c>
      <c r="D9" s="59" t="s">
        <v>304</v>
      </c>
      <c r="E9" s="59" t="s">
        <v>314</v>
      </c>
      <c r="F9" s="61"/>
    </row>
    <row r="10">
      <c r="A10" s="59" t="s">
        <v>320</v>
      </c>
      <c r="B10" s="60">
        <v>10000.0</v>
      </c>
      <c r="C10" s="63">
        <v>615.0</v>
      </c>
      <c r="D10" s="59" t="s">
        <v>304</v>
      </c>
      <c r="E10" s="59" t="s">
        <v>314</v>
      </c>
      <c r="F10" s="61"/>
    </row>
    <row r="11">
      <c r="A11" s="59" t="s">
        <v>321</v>
      </c>
      <c r="B11" s="60">
        <v>10000.0</v>
      </c>
      <c r="C11" s="63">
        <v>738.0</v>
      </c>
      <c r="D11" s="59" t="s">
        <v>304</v>
      </c>
      <c r="E11" s="59" t="s">
        <v>314</v>
      </c>
      <c r="F11" s="61"/>
    </row>
    <row r="12">
      <c r="A12" s="59" t="s">
        <v>322</v>
      </c>
      <c r="B12" s="60">
        <v>10000.0</v>
      </c>
      <c r="C12" s="63">
        <v>738.0</v>
      </c>
      <c r="D12" s="59" t="s">
        <v>304</v>
      </c>
      <c r="E12" s="59" t="s">
        <v>314</v>
      </c>
      <c r="F12" s="61"/>
    </row>
    <row r="13">
      <c r="A13" s="59" t="s">
        <v>323</v>
      </c>
      <c r="B13" s="60">
        <v>6000.0</v>
      </c>
      <c r="C13" s="63">
        <v>369.0</v>
      </c>
      <c r="D13" s="59" t="s">
        <v>305</v>
      </c>
      <c r="E13" s="59" t="s">
        <v>314</v>
      </c>
      <c r="F13" s="61"/>
    </row>
    <row r="14">
      <c r="A14" s="59" t="s">
        <v>324</v>
      </c>
      <c r="B14" s="60">
        <v>10000.0</v>
      </c>
      <c r="C14" s="63">
        <v>492.0</v>
      </c>
      <c r="D14" s="59" t="s">
        <v>305</v>
      </c>
      <c r="E14" s="59" t="s">
        <v>314</v>
      </c>
      <c r="F14" s="61"/>
    </row>
    <row r="15">
      <c r="A15" s="59" t="s">
        <v>325</v>
      </c>
      <c r="B15" s="60">
        <v>6000.0</v>
      </c>
      <c r="C15" s="63">
        <v>308.0</v>
      </c>
      <c r="D15" s="59" t="s">
        <v>306</v>
      </c>
      <c r="E15" s="59" t="s">
        <v>314</v>
      </c>
      <c r="F15" s="61"/>
    </row>
    <row r="16">
      <c r="A16" s="59" t="s">
        <v>326</v>
      </c>
      <c r="B16" s="60">
        <v>4000.0</v>
      </c>
      <c r="C16" s="63">
        <v>246.0</v>
      </c>
      <c r="D16" s="59" t="s">
        <v>305</v>
      </c>
      <c r="E16" s="59" t="s">
        <v>314</v>
      </c>
      <c r="F16" s="61"/>
    </row>
    <row r="17">
      <c r="A17" s="59" t="s">
        <v>327</v>
      </c>
      <c r="B17" s="60">
        <v>0.0</v>
      </c>
      <c r="C17" s="63">
        <v>308.0</v>
      </c>
      <c r="D17" s="59" t="s">
        <v>318</v>
      </c>
      <c r="E17" s="59" t="s">
        <v>328</v>
      </c>
      <c r="F17" s="61"/>
    </row>
    <row r="18">
      <c r="A18" s="59" t="s">
        <v>329</v>
      </c>
      <c r="B18" s="60">
        <v>0.0</v>
      </c>
      <c r="C18" s="63">
        <v>308.0</v>
      </c>
      <c r="D18" s="59" t="s">
        <v>318</v>
      </c>
      <c r="E18" s="59" t="s">
        <v>330</v>
      </c>
      <c r="F18" s="61"/>
    </row>
    <row r="19">
      <c r="A19" s="59" t="s">
        <v>331</v>
      </c>
      <c r="B19" s="60" t="s">
        <v>332</v>
      </c>
      <c r="C19" s="63">
        <v>615.0</v>
      </c>
      <c r="D19" s="59" t="s">
        <v>333</v>
      </c>
      <c r="E19" s="59" t="s">
        <v>334</v>
      </c>
      <c r="F19" s="61"/>
    </row>
    <row r="20">
      <c r="A20" s="66" t="s">
        <v>335</v>
      </c>
      <c r="B20" s="67">
        <f>H2+I2+J2</f>
        <v>204800</v>
      </c>
      <c r="C20" s="67" t="s">
        <v>336</v>
      </c>
      <c r="D20" s="68"/>
      <c r="E20" s="68"/>
      <c r="F20" s="68"/>
    </row>
    <row r="21">
      <c r="A21" s="61"/>
      <c r="B21" s="61"/>
      <c r="C21" s="61"/>
      <c r="D21" s="61"/>
      <c r="E21" s="61"/>
      <c r="F21" s="61"/>
    </row>
    <row r="22">
      <c r="A22" s="66"/>
      <c r="B22" s="67"/>
      <c r="C22" s="67" t="s">
        <v>337</v>
      </c>
      <c r="D22" s="68"/>
      <c r="E22" s="68"/>
      <c r="F22" s="68"/>
    </row>
    <row r="23">
      <c r="A23" s="69"/>
      <c r="B23" s="69"/>
      <c r="C23" s="69"/>
      <c r="D23" s="69"/>
      <c r="E23" s="69"/>
      <c r="F23" s="69"/>
    </row>
    <row r="24">
      <c r="A24" s="69"/>
      <c r="B24" s="69"/>
      <c r="C24" s="69"/>
      <c r="D24" s="69"/>
      <c r="E24" s="69"/>
      <c r="F24" s="69"/>
    </row>
    <row r="25">
      <c r="A25" s="69"/>
      <c r="B25" s="69"/>
      <c r="C25" s="69"/>
      <c r="D25" s="69"/>
      <c r="E25" s="69"/>
      <c r="F25" s="69"/>
    </row>
    <row r="26">
      <c r="A26" s="70" t="s">
        <v>338</v>
      </c>
    </row>
    <row r="27">
      <c r="A27" s="71" t="s">
        <v>339</v>
      </c>
      <c r="B27" s="71" t="s">
        <v>340</v>
      </c>
      <c r="C27" s="71" t="s">
        <v>300</v>
      </c>
      <c r="D27" s="71" t="s">
        <v>301</v>
      </c>
      <c r="E27" s="71" t="s">
        <v>341</v>
      </c>
      <c r="F27" s="71" t="s">
        <v>342</v>
      </c>
    </row>
    <row r="28">
      <c r="A28" s="59" t="s">
        <v>343</v>
      </c>
      <c r="B28" s="59" t="s">
        <v>344</v>
      </c>
      <c r="C28" s="60" t="s">
        <v>345</v>
      </c>
      <c r="D28" s="60" t="s">
        <v>346</v>
      </c>
      <c r="E28" s="59" t="s">
        <v>347</v>
      </c>
      <c r="F28" s="60" t="s">
        <v>345</v>
      </c>
    </row>
    <row r="29">
      <c r="A29" s="59" t="s">
        <v>343</v>
      </c>
      <c r="B29" s="59" t="s">
        <v>348</v>
      </c>
      <c r="C29" s="61"/>
      <c r="D29" s="61"/>
      <c r="E29" s="59" t="s">
        <v>347</v>
      </c>
      <c r="F29" s="61"/>
    </row>
    <row r="30">
      <c r="A30" s="59" t="s">
        <v>343</v>
      </c>
      <c r="B30" s="59" t="s">
        <v>349</v>
      </c>
      <c r="C30" s="61"/>
      <c r="D30" s="61"/>
      <c r="E30" s="59" t="s">
        <v>347</v>
      </c>
      <c r="F30" s="61"/>
    </row>
    <row r="31">
      <c r="A31" s="59" t="s">
        <v>350</v>
      </c>
      <c r="B31" s="59" t="s">
        <v>351</v>
      </c>
      <c r="C31" s="61"/>
      <c r="D31" s="61"/>
      <c r="E31" s="59" t="s">
        <v>347</v>
      </c>
      <c r="F31" s="61"/>
    </row>
    <row r="32">
      <c r="A32" s="59" t="s">
        <v>350</v>
      </c>
      <c r="B32" s="59" t="s">
        <v>352</v>
      </c>
      <c r="C32" s="61"/>
      <c r="D32" s="61"/>
      <c r="E32" s="59" t="s">
        <v>347</v>
      </c>
      <c r="F32" s="61"/>
    </row>
    <row r="33">
      <c r="A33" s="59" t="s">
        <v>353</v>
      </c>
      <c r="B33" s="59" t="s">
        <v>354</v>
      </c>
      <c r="C33" s="61"/>
      <c r="D33" s="61"/>
      <c r="E33" s="59" t="s">
        <v>347</v>
      </c>
      <c r="F33" s="61"/>
    </row>
    <row r="34">
      <c r="A34" s="69"/>
      <c r="B34" s="69"/>
      <c r="C34" s="69"/>
      <c r="D34" s="69"/>
      <c r="E34" s="69"/>
      <c r="F34" s="69"/>
    </row>
    <row r="35">
      <c r="A35" s="72" t="s">
        <v>355</v>
      </c>
    </row>
    <row r="36">
      <c r="A36" s="69"/>
      <c r="B36" s="69"/>
      <c r="C36" s="69"/>
      <c r="D36" s="69"/>
      <c r="E36" s="69"/>
      <c r="F36" s="69"/>
    </row>
  </sheetData>
  <mergeCells count="2">
    <mergeCell ref="A26:F26"/>
    <mergeCell ref="A35:F3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34.29"/>
  </cols>
  <sheetData>
    <row r="1">
      <c r="A1" s="73" t="s">
        <v>356</v>
      </c>
      <c r="B1" s="73" t="s">
        <v>357</v>
      </c>
      <c r="C1" s="73" t="s">
        <v>358</v>
      </c>
    </row>
    <row r="2">
      <c r="A2" s="74" t="s">
        <v>359</v>
      </c>
      <c r="B2" s="74"/>
      <c r="C2" s="74"/>
    </row>
    <row r="3">
      <c r="A3" s="2" t="s">
        <v>360</v>
      </c>
      <c r="B3" s="2">
        <v>35000.0</v>
      </c>
      <c r="C3" s="2"/>
    </row>
    <row r="4">
      <c r="A4" s="2" t="s">
        <v>361</v>
      </c>
      <c r="B4" s="2"/>
      <c r="C4" s="2"/>
    </row>
    <row r="5">
      <c r="A5" s="2" t="s">
        <v>362</v>
      </c>
      <c r="B5" s="2">
        <v>3000.0</v>
      </c>
      <c r="C5" s="2"/>
    </row>
    <row r="6">
      <c r="A6" s="2" t="s">
        <v>363</v>
      </c>
      <c r="B6" s="2">
        <v>4000.0</v>
      </c>
      <c r="C6" s="2"/>
    </row>
    <row r="7">
      <c r="A7" s="2" t="s">
        <v>364</v>
      </c>
      <c r="B7" s="2">
        <v>2800.0</v>
      </c>
      <c r="C7" s="2"/>
    </row>
    <row r="8">
      <c r="A8" s="2" t="s">
        <v>365</v>
      </c>
      <c r="B8" s="2">
        <v>2200.0</v>
      </c>
      <c r="C8" s="2"/>
    </row>
    <row r="9">
      <c r="A9" s="2" t="s">
        <v>366</v>
      </c>
      <c r="B9" s="2">
        <v>800.0</v>
      </c>
      <c r="C9" s="2"/>
    </row>
    <row r="10">
      <c r="A10" s="2" t="s">
        <v>367</v>
      </c>
      <c r="B10" s="2">
        <v>1500.0</v>
      </c>
      <c r="C10" s="2"/>
    </row>
    <row r="11">
      <c r="A11" s="2"/>
      <c r="B11" s="2"/>
      <c r="C11" s="2"/>
    </row>
    <row r="12">
      <c r="A12" s="74" t="s">
        <v>368</v>
      </c>
      <c r="B12" s="2"/>
      <c r="C12" s="2"/>
    </row>
    <row r="13">
      <c r="A13" s="2" t="s">
        <v>369</v>
      </c>
      <c r="B13" s="2">
        <v>12000.0</v>
      </c>
      <c r="C13" s="2"/>
    </row>
    <row r="14">
      <c r="A14" s="2" t="s">
        <v>370</v>
      </c>
      <c r="B14" s="2">
        <v>3500.0</v>
      </c>
      <c r="C14" s="2"/>
    </row>
    <row r="15">
      <c r="A15" s="2" t="s">
        <v>371</v>
      </c>
      <c r="B15" s="2">
        <v>3000.0</v>
      </c>
      <c r="C15" s="2"/>
    </row>
    <row r="16">
      <c r="A16" s="2" t="s">
        <v>372</v>
      </c>
      <c r="B16" s="2">
        <v>749.0</v>
      </c>
      <c r="C16" s="2"/>
    </row>
    <row r="17">
      <c r="A17" s="2" t="s">
        <v>373</v>
      </c>
      <c r="B17" s="2">
        <v>1000.0</v>
      </c>
      <c r="C17" s="2"/>
    </row>
    <row r="18">
      <c r="A18" s="2" t="s">
        <v>374</v>
      </c>
      <c r="B18" s="2">
        <v>1500.0</v>
      </c>
      <c r="C18" s="2"/>
    </row>
    <row r="19">
      <c r="A19" s="2" t="s">
        <v>375</v>
      </c>
      <c r="B19" s="2">
        <v>500.0</v>
      </c>
      <c r="C19" s="2"/>
    </row>
    <row r="20">
      <c r="A20" s="2" t="s">
        <v>376</v>
      </c>
      <c r="B20" s="2">
        <v>700.0</v>
      </c>
      <c r="C20" s="2"/>
    </row>
    <row r="21">
      <c r="A21" s="2" t="s">
        <v>377</v>
      </c>
      <c r="B21" s="2"/>
      <c r="C21" s="2"/>
    </row>
    <row r="22">
      <c r="A22" s="2" t="s">
        <v>378</v>
      </c>
      <c r="B22" s="2">
        <v>1000.0</v>
      </c>
      <c r="C22" s="2"/>
    </row>
    <row r="23">
      <c r="A23" s="2" t="s">
        <v>379</v>
      </c>
      <c r="B23" s="2">
        <v>800.0</v>
      </c>
      <c r="C23" s="2"/>
    </row>
    <row r="24">
      <c r="A24" s="2" t="s">
        <v>380</v>
      </c>
      <c r="B24" s="2">
        <v>1299.0</v>
      </c>
      <c r="C24" s="2"/>
    </row>
    <row r="25">
      <c r="A25" s="2" t="s">
        <v>381</v>
      </c>
      <c r="B25" s="2"/>
      <c r="C25" s="2"/>
    </row>
    <row r="26">
      <c r="A26" s="2" t="s">
        <v>382</v>
      </c>
      <c r="B26" s="2"/>
      <c r="C26" s="2"/>
    </row>
    <row r="27">
      <c r="A27" s="2" t="s">
        <v>383</v>
      </c>
      <c r="B27" s="2">
        <v>1600.0</v>
      </c>
      <c r="C27" s="2"/>
    </row>
    <row r="28">
      <c r="A28" s="2" t="s">
        <v>384</v>
      </c>
      <c r="B28" s="2">
        <v>400.0</v>
      </c>
      <c r="C28" s="2"/>
    </row>
    <row r="29">
      <c r="A29" s="2" t="s">
        <v>385</v>
      </c>
      <c r="B29" s="2">
        <v>2000.0</v>
      </c>
      <c r="C29" s="2"/>
    </row>
    <row r="30">
      <c r="A30" s="2" t="s">
        <v>386</v>
      </c>
      <c r="B30" s="2">
        <v>1250.0</v>
      </c>
      <c r="C30" s="2"/>
    </row>
    <row r="31">
      <c r="A31" s="2" t="s">
        <v>387</v>
      </c>
      <c r="B31" s="2">
        <v>600.0</v>
      </c>
      <c r="C31" s="2"/>
    </row>
    <row r="32">
      <c r="A32" s="2" t="s">
        <v>388</v>
      </c>
      <c r="B32" s="2">
        <v>600.0</v>
      </c>
      <c r="C32" s="2"/>
    </row>
    <row r="33">
      <c r="A33" s="2" t="s">
        <v>389</v>
      </c>
      <c r="B33" s="2">
        <v>800.0</v>
      </c>
      <c r="C33" s="2"/>
    </row>
    <row r="34">
      <c r="A34" s="2" t="s">
        <v>390</v>
      </c>
      <c r="B34" s="2">
        <v>500.0</v>
      </c>
      <c r="C34" s="2"/>
    </row>
    <row r="35">
      <c r="A35" s="2" t="s">
        <v>391</v>
      </c>
      <c r="B35" s="2">
        <v>600.0</v>
      </c>
      <c r="C35" s="2"/>
    </row>
    <row r="36">
      <c r="A36" s="2" t="s">
        <v>392</v>
      </c>
      <c r="B36" s="2">
        <v>400.0</v>
      </c>
      <c r="C36" s="2"/>
    </row>
    <row r="37">
      <c r="A37" s="2" t="s">
        <v>393</v>
      </c>
      <c r="B37" s="2">
        <v>500.0</v>
      </c>
      <c r="C37" s="2"/>
    </row>
    <row r="38">
      <c r="A38" s="2" t="s">
        <v>394</v>
      </c>
      <c r="B38" s="2">
        <v>400.0</v>
      </c>
      <c r="C38" s="2"/>
    </row>
    <row r="39">
      <c r="A39" s="2" t="s">
        <v>395</v>
      </c>
      <c r="B39" s="2">
        <v>300.0</v>
      </c>
      <c r="C39" s="2"/>
    </row>
    <row r="40">
      <c r="A40" s="2" t="s">
        <v>396</v>
      </c>
      <c r="B40" s="2">
        <v>600.0</v>
      </c>
      <c r="C40" s="2"/>
    </row>
    <row r="41">
      <c r="A41" s="2" t="s">
        <v>397</v>
      </c>
      <c r="B41" s="2">
        <v>2000.0</v>
      </c>
      <c r="C41" s="2"/>
    </row>
    <row r="42">
      <c r="A42" s="2" t="s">
        <v>398</v>
      </c>
      <c r="B42" s="2">
        <v>1500.0</v>
      </c>
      <c r="C42" s="2"/>
    </row>
    <row r="43">
      <c r="A43" s="2" t="s">
        <v>399</v>
      </c>
      <c r="B43" s="2">
        <v>1000.0</v>
      </c>
      <c r="C43" s="2"/>
    </row>
    <row r="44">
      <c r="A44" s="2" t="s">
        <v>400</v>
      </c>
      <c r="B44" s="2">
        <v>300.0</v>
      </c>
      <c r="C44" s="2"/>
    </row>
    <row r="45">
      <c r="A45" s="2" t="s">
        <v>401</v>
      </c>
      <c r="B45" s="2">
        <v>200.0</v>
      </c>
      <c r="C45" s="2"/>
    </row>
    <row r="46">
      <c r="A46" s="2" t="s">
        <v>402</v>
      </c>
      <c r="B46" s="2">
        <v>500.0</v>
      </c>
      <c r="C46" s="2"/>
    </row>
    <row r="47">
      <c r="A47" s="2" t="s">
        <v>403</v>
      </c>
      <c r="B47" s="2">
        <v>300.0</v>
      </c>
      <c r="C47" s="2"/>
    </row>
    <row r="48">
      <c r="A48" s="2" t="s">
        <v>404</v>
      </c>
      <c r="B48" s="2">
        <v>300.0</v>
      </c>
      <c r="C48" s="2"/>
    </row>
    <row r="49">
      <c r="A49" s="2" t="s">
        <v>405</v>
      </c>
      <c r="B49" s="2">
        <v>400.0</v>
      </c>
      <c r="C49" s="2"/>
    </row>
    <row r="50">
      <c r="A50" s="2"/>
      <c r="B50" s="2"/>
      <c r="C50" s="2"/>
    </row>
    <row r="51">
      <c r="A51" s="2" t="s">
        <v>406</v>
      </c>
      <c r="B51" s="2"/>
      <c r="C51" s="2"/>
    </row>
    <row r="52">
      <c r="A52" s="2" t="s">
        <v>407</v>
      </c>
      <c r="B52" s="2">
        <v>9000.0</v>
      </c>
      <c r="C52" s="2"/>
    </row>
    <row r="53">
      <c r="A53" s="2" t="s">
        <v>408</v>
      </c>
      <c r="B53" s="2">
        <v>10000.0</v>
      </c>
      <c r="C53" s="2"/>
    </row>
    <row r="54">
      <c r="A54" s="2" t="s">
        <v>409</v>
      </c>
      <c r="B54" s="2">
        <v>700.0</v>
      </c>
      <c r="C54" s="2"/>
    </row>
    <row r="55">
      <c r="A55" s="2" t="s">
        <v>410</v>
      </c>
      <c r="B55" s="2">
        <v>700.0</v>
      </c>
      <c r="C55" s="2"/>
    </row>
    <row r="56">
      <c r="A56" s="2" t="s">
        <v>411</v>
      </c>
      <c r="B56" s="2">
        <v>4000.0</v>
      </c>
      <c r="C56" s="2"/>
    </row>
    <row r="57">
      <c r="A57" s="2" t="s">
        <v>412</v>
      </c>
      <c r="B57" s="2">
        <v>1500.0</v>
      </c>
      <c r="C57" s="2"/>
    </row>
    <row r="58">
      <c r="A58" s="2"/>
      <c r="B58" s="2"/>
      <c r="C58" s="2"/>
    </row>
    <row r="59">
      <c r="A59" s="2" t="s">
        <v>413</v>
      </c>
      <c r="B59" s="2"/>
      <c r="C59" s="2"/>
    </row>
    <row r="60">
      <c r="A60" s="2" t="s">
        <v>414</v>
      </c>
      <c r="B60" s="2"/>
      <c r="C60" s="2"/>
    </row>
    <row r="61">
      <c r="A61" s="2" t="s">
        <v>415</v>
      </c>
      <c r="B61" s="2">
        <v>3000.0</v>
      </c>
      <c r="C61" s="2"/>
    </row>
    <row r="62">
      <c r="A62" s="2" t="s">
        <v>416</v>
      </c>
      <c r="B62" s="2"/>
      <c r="C62" s="2"/>
    </row>
    <row r="63">
      <c r="A63" s="2"/>
      <c r="B63" s="2"/>
      <c r="C63" s="2"/>
    </row>
    <row r="64">
      <c r="A64" s="2"/>
      <c r="B64" s="2"/>
      <c r="C64" s="2"/>
    </row>
    <row r="65">
      <c r="A65" s="75" t="s">
        <v>417</v>
      </c>
      <c r="B65" s="2"/>
      <c r="C65" s="2"/>
    </row>
    <row r="66">
      <c r="A66" s="2" t="s">
        <v>418</v>
      </c>
      <c r="B66" s="2"/>
      <c r="C66" s="2"/>
    </row>
    <row r="67">
      <c r="A67" s="2" t="s">
        <v>419</v>
      </c>
      <c r="B67" s="2"/>
      <c r="C67" s="2"/>
    </row>
    <row r="68">
      <c r="A68" s="2" t="s">
        <v>420</v>
      </c>
      <c r="B68" s="2"/>
      <c r="C68" s="2"/>
    </row>
    <row r="69">
      <c r="A69" s="2" t="s">
        <v>421</v>
      </c>
      <c r="B69" s="2"/>
      <c r="C69" s="2"/>
    </row>
    <row r="70">
      <c r="A70" s="2" t="s">
        <v>422</v>
      </c>
      <c r="B70" s="2"/>
      <c r="C70" s="2"/>
    </row>
    <row r="71">
      <c r="A71" s="2" t="s">
        <v>423</v>
      </c>
      <c r="B71" s="2"/>
      <c r="C71" s="2"/>
    </row>
    <row r="72">
      <c r="A72" s="2" t="s">
        <v>424</v>
      </c>
      <c r="B72" s="2"/>
      <c r="C72" s="2"/>
    </row>
    <row r="73">
      <c r="A73" s="2" t="s">
        <v>425</v>
      </c>
      <c r="B73" s="2"/>
      <c r="C73" s="2"/>
    </row>
    <row r="74">
      <c r="A74" s="2" t="s">
        <v>426</v>
      </c>
      <c r="B74" s="2"/>
      <c r="C74" s="2"/>
    </row>
  </sheetData>
  <drawing r:id="rId1"/>
</worksheet>
</file>